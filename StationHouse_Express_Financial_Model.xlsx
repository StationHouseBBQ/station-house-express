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Meat Cost &amp; Transfer" sheetId="3" state="visible" r:id="rId5"/>
    <sheet name="Sides &amp; Ingredients" sheetId="4" state="visible" r:id="rId6"/>
    <sheet name="Menu Costing" sheetId="5" state="visible" r:id="rId7"/>
    <sheet name="Sales &amp; P&amp;L" sheetId="6" state="visible" r:id="rId8"/>
    <sheet name="Break-Even" sheetId="7" state="visible" r:id="rId9"/>
    <sheet name="Startup Budget" sheetId="8" state="visible" r:id="rId10"/>
    <sheet name="Prep List" sheetId="9" state="visible" r:id="rId11"/>
    <sheet name="Order Guide" sheetId="10" state="visible" r:id="rId12"/>
    <sheet name="Shopping Guide" sheetId="11" state="visible" r:id="rId13"/>
    <sheet name="Smoke Schedule" sheetId="12" state="visible" r:id="rId14"/>
    <sheet name="Direct vs Distributor" sheetId="13" state="visible" r:id="rId15"/>
    <sheet name="Commissary P&amp;L" sheetId="14" state="visible" r:id="rId16"/>
    <sheet name="Who Makes Money" sheetId="15" state="visible" r:id="rId17"/>
    <sheet name="Sources" sheetId="16" state="visible" r:id="rId1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9" authorId="0">
      <text>
        <r>
          <rPr>
            <sz val="10"/>
            <rFont val="Arial"/>
            <family val="2"/>
          </rPr>
          <t xml:space="preserve">Estimate - replace with your Cheney / US Foods / bakery invoice price.</t>
        </r>
      </text>
    </comment>
    <comment ref="D10" authorId="0">
      <text>
        <r>
          <rPr>
            <sz val="10"/>
            <rFont val="Arial"/>
            <family val="2"/>
          </rPr>
          <t xml:space="preserve">Estimate - replace with your Cheney / US Foods / bakery invoice price.</t>
        </r>
      </text>
    </comment>
    <comment ref="D23" authorId="0">
      <text>
        <r>
          <rPr>
            <sz val="10"/>
            <rFont val="Arial"/>
            <family val="2"/>
          </rPr>
          <t xml:space="preserve">Estimate - replace with your Cheney / US Foods / bakery invoice price.</t>
        </r>
      </text>
    </comment>
    <comment ref="D31" authorId="0">
      <text>
        <r>
          <rPr>
            <sz val="10"/>
            <rFont val="Arial"/>
            <family val="2"/>
          </rPr>
          <t xml:space="preserve">Estimate - replace with your Cheney / US Foods / bakery invoice price.</t>
        </r>
      </text>
    </comment>
    <comment ref="D32" authorId="0">
      <text>
        <r>
          <rPr>
            <sz val="10"/>
            <rFont val="Arial"/>
            <family val="2"/>
          </rPr>
          <t xml:space="preserve">Estimate - replace with your Cheney / US Foods / bakery invoice price.</t>
        </r>
      </text>
    </comment>
    <comment ref="D33" authorId="0">
      <text>
        <r>
          <rPr>
            <sz val="10"/>
            <rFont val="Arial"/>
            <family val="2"/>
          </rPr>
          <t xml:space="preserve">Estimate - replace with your Cheney / US Foods / bakery invoice price.</t>
        </r>
      </text>
    </comment>
    <comment ref="D36" authorId="0">
      <text>
        <r>
          <rPr>
            <sz val="10"/>
            <rFont val="Arial"/>
            <family val="2"/>
          </rPr>
          <t xml:space="preserve">Estimate - replace with your Cheney / US Foods / bakery invoice price.</t>
        </r>
      </text>
    </comment>
    <comment ref="D46" authorId="0">
      <text>
        <r>
          <rPr>
            <sz val="10"/>
            <rFont val="Arial"/>
            <family val="2"/>
          </rPr>
          <t xml:space="preserve">Estimate - replace with your Cheney / US Foods / bakery invoice price.</t>
        </r>
      </text>
    </comment>
    <comment ref="D48" authorId="0">
      <text>
        <r>
          <rPr>
            <sz val="10"/>
            <rFont val="Arial"/>
            <family val="2"/>
          </rPr>
          <t xml:space="preserve">Estimate - replace with your Cheney / US Foods / bakery invoice price.</t>
        </r>
      </text>
    </comment>
    <comment ref="D55" authorId="0">
      <text>
        <r>
          <rPr>
            <sz val="10"/>
            <rFont val="Arial"/>
            <family val="2"/>
          </rPr>
          <t xml:space="preserve">Estimate - replace with your Cheney / US Foods / bakery invoice price.</t>
        </r>
      </text>
    </comment>
    <comment ref="D57" authorId="0">
      <text>
        <r>
          <rPr>
            <sz val="10"/>
            <rFont val="Arial"/>
            <family val="2"/>
          </rPr>
          <t xml:space="preserve">Estimate - replace with your Cheney / US Foods / bakery invoice price.</t>
        </r>
      </text>
    </comment>
    <comment ref="D59" authorId="0">
      <text>
        <r>
          <rPr>
            <sz val="10"/>
            <rFont val="Arial"/>
            <family val="2"/>
          </rPr>
          <t xml:space="preserve">Estimate - replace with your Cheney / US Foods / bakery invoice price.</t>
        </r>
      </text>
    </comment>
    <comment ref="D69" authorId="0">
      <text>
        <r>
          <rPr>
            <sz val="10"/>
            <rFont val="Arial"/>
            <family val="2"/>
          </rPr>
          <t xml:space="preserve">Estimate - replace with your Cheney / US Foods / bakery invoice price.</t>
        </r>
      </text>
    </comment>
    <comment ref="D78" authorId="0">
      <text>
        <r>
          <rPr>
            <sz val="10"/>
            <rFont val="Arial"/>
            <family val="2"/>
          </rPr>
          <t xml:space="preserve">Estimate - replace with your Cheney / US Foods / bakery invoice price.</t>
        </r>
      </text>
    </comment>
    <comment ref="D79" authorId="0">
      <text>
        <r>
          <rPr>
            <sz val="10"/>
            <rFont val="Arial"/>
            <family val="2"/>
          </rPr>
          <t xml:space="preserve">Estimate - replace with your Cheney / US Foods / bakery invoice price.</t>
        </r>
      </text>
    </comment>
    <comment ref="D86" authorId="0">
      <text>
        <r>
          <rPr>
            <sz val="10"/>
            <rFont val="Arial"/>
            <family val="2"/>
          </rPr>
          <t xml:space="preserve">Estimate - replace with your Cheney / US Foods / bakery invoice price.</t>
        </r>
      </text>
    </comment>
    <comment ref="D106" authorId="0">
      <text>
        <r>
          <rPr>
            <sz val="10"/>
            <rFont val="Arial"/>
            <family val="2"/>
          </rPr>
          <t xml:space="preserve">Estimate - replace with your Cheney / US Foods / bakery invoice price.</t>
        </r>
      </text>
    </comment>
    <comment ref="D108" authorId="0">
      <text>
        <r>
          <rPr>
            <sz val="10"/>
            <rFont val="Arial"/>
            <family val="2"/>
          </rPr>
          <t xml:space="preserve">Estimate - replace with your Cheney / US Foods / bakery invoice price.</t>
        </r>
      </text>
    </comment>
  </commentList>
</comments>
</file>

<file path=xl/sharedStrings.xml><?xml version="1.0" encoding="utf-8"?>
<sst xmlns="http://schemas.openxmlformats.org/spreadsheetml/2006/main" count="1700" uniqueCount="971">
  <si>
    <t xml:space="preserve">Station House Express - store financials at a glance</t>
  </si>
  <si>
    <t xml:space="preserve">BBQ + Cubans counter: lunch 11-2:30, catering pickups until 7 pm, 1,500 sq ft, 32 seats, 5 days/week, meats from the commissary at cost + 25%. Prepared Oct 27, 2026.</t>
  </si>
  <si>
    <t xml:space="preserve">Conservative</t>
  </si>
  <si>
    <t xml:space="preserve">Base</t>
  </si>
  <si>
    <t xml:space="preserve">Strong</t>
  </si>
  <si>
    <t xml:space="preserve">Sales</t>
  </si>
  <si>
    <t xml:space="preserve">Sales per day</t>
  </si>
  <si>
    <t xml:space="preserve">Sales per week</t>
  </si>
  <si>
    <t xml:space="preserve">Sales per month</t>
  </si>
  <si>
    <t xml:space="preserve">  of which evening catering pickups</t>
  </si>
  <si>
    <t xml:space="preserve">Costs (% of sales)</t>
  </si>
  <si>
    <t xml:space="preserve">Cost of goods (meat at transfer price + food + packaging)</t>
  </si>
  <si>
    <t xml:space="preserve">Labor</t>
  </si>
  <si>
    <t xml:space="preserve">Prime cost (COGS + labor) - target under 60%</t>
  </si>
  <si>
    <t xml:space="preserve">Occupancy</t>
  </si>
  <si>
    <t xml:space="preserve">Profit</t>
  </si>
  <si>
    <t xml:space="preserve">Store EBITDA per month</t>
  </si>
  <si>
    <t xml:space="preserve">Store EBITDA margin</t>
  </si>
  <si>
    <t xml:space="preserve">Commissary profit from this store per month (meat markup)</t>
  </si>
  <si>
    <t xml:space="preserve">Combined Station House profit per month</t>
  </si>
  <si>
    <t xml:space="preserve">Payback on startup cost (months)</t>
  </si>
  <si>
    <t xml:space="preserve">Who makes money (per year)</t>
  </si>
  <si>
    <t xml:space="preserve">Investor share of store profit</t>
  </si>
  <si>
    <t xml:space="preserve">Investor cash-on-cash return</t>
  </si>
  <si>
    <t xml:space="preserve">Station House total (fee + ownership share + commissary markup)</t>
  </si>
  <si>
    <t xml:space="preserve">One-number answers</t>
  </si>
  <si>
    <t xml:space="preserve">Startup cost - raw shell, 1st generation</t>
  </si>
  <si>
    <t xml:space="preserve">Startup cost - former restaurant, 2nd generation</t>
  </si>
  <si>
    <t xml:space="preserve">Startup cost used in this plan</t>
  </si>
  <si>
    <t xml:space="preserve">Break-even sales per day</t>
  </si>
  <si>
    <t xml:space="preserve">Break-even sales per week</t>
  </si>
  <si>
    <t xml:space="preserve">Break-even tickets per day</t>
  </si>
  <si>
    <t xml:space="preserve">Break-even per day incl. 20%/yr investor return</t>
  </si>
  <si>
    <t xml:space="preserve">Food + packaging cost: 5-Alarm Sampler 2-3</t>
  </si>
  <si>
    <t xml:space="preserve">Food + packaging cost: 5-Alarm Sampler 5-6</t>
  </si>
  <si>
    <t xml:space="preserve">Food + packaging cost: Brisket Cuban</t>
  </si>
  <si>
    <t xml:space="preserve">Food + packaging cost: Smokin' Cuban</t>
  </si>
  <si>
    <t xml:space="preserve">Food + packaging cost: fountain drink</t>
  </si>
  <si>
    <t xml:space="preserve">Food + packaging cost: cornbread + tallow butter</t>
  </si>
  <si>
    <t xml:space="preserve">Food + packaging cost: Party Sampler Feeds 20</t>
  </si>
  <si>
    <t xml:space="preserve">Annual meat savings going direct, base case (store only)</t>
  </si>
  <si>
    <t xml:space="preserve">Annual meat savings going direct, base case (whole business)</t>
  </si>
  <si>
    <t xml:space="preserve">Brisket: what you pay vs USDA wholesale</t>
  </si>
  <si>
    <t xml:space="preserve">Read me first: meat, sides, bread, deli, drinks and packaging are priced from the Station House order guide (Centerpoint, Cheney, US Foods, La Segunda). Still estimates: salami, a few spices, bananas/onions/peppers, the 25% commissary markup basis (smoke cost per lb), labor, NNN and build-out. Change any blue cell and every tab updates.</t>
  </si>
  <si>
    <t xml:space="preserve">Volumes are anchored to Seminole Heights Square data (Sep 18 - Oct 27, 2026). Rent ($6K) and the 25% commissary markup are Anthony's numbers. Everything else marked "Estimate" should be confirmed before it goes to an investor.</t>
  </si>
  <si>
    <t xml:space="preserve">Assumptions - every input in one place</t>
  </si>
  <si>
    <t xml:space="preserve">Blue = input you can change. Yellow = key assumption to confirm. Black = formula. Green = link to another tab.</t>
  </si>
  <si>
    <t xml:space="preserve">Operating calendar</t>
  </si>
  <si>
    <t xml:space="preserve">Days open per week (lunch only)</t>
  </si>
  <si>
    <t xml:space="preserve">days</t>
  </si>
  <si>
    <t xml:space="preserve">From Anthony: 5-day week, lunch only (2 days off).</t>
  </si>
  <si>
    <t xml:space="preserve">Weeks per month</t>
  </si>
  <si>
    <t xml:space="preserve">weeks</t>
  </si>
  <si>
    <t xml:space="preserve">52 weeks / 12 months.</t>
  </si>
  <si>
    <t xml:space="preserve">Scenario volume: Conservative (x base)</t>
  </si>
  <si>
    <t xml:space="preserve">Slow ramp / first 90 days.</t>
  </si>
  <si>
    <t xml:space="preserve">Scenario volume: Base (x base)</t>
  </si>
  <si>
    <t xml:space="preserve">Base day = ~$2,800 sales (see Sales &amp; P&amp;L daily units).</t>
  </si>
  <si>
    <t xml:space="preserve">Scenario volume: Strong (x base)</t>
  </si>
  <si>
    <t xml:space="preserve">Comparable to a strong Seminole Heights Saturday (~$2.9K) every day.</t>
  </si>
  <si>
    <t xml:space="preserve">Average ticket (Seminole Heights actual)</t>
  </si>
  <si>
    <t xml:space="preserve">$</t>
  </si>
  <si>
    <t xml:space="preserve">Square, Seminole Heights, Sep 18 - Oct 27, 2026: 1,000 completed orders, $46,804.</t>
  </si>
  <si>
    <t xml:space="preserve">Commissary (meats only)</t>
  </si>
  <si>
    <t xml:space="preserve">Commissary markup on meats (cost + %)</t>
  </si>
  <si>
    <t xml:space="preserve">From Anthony: cost + 25%. Restaurant buys all other food and supplies itself.</t>
  </si>
  <si>
    <t xml:space="preserve">Commissary labor for this store (hours per week)</t>
  </si>
  <si>
    <t xml:space="preserve">hrs/wk</t>
  </si>
  <si>
    <t xml:space="preserve">From Anthony: about 20 hours a week.</t>
  </si>
  <si>
    <t xml:space="preserve">Commissary pitmaster / prep hourly rate</t>
  </si>
  <si>
    <t xml:space="preserve">$/hr</t>
  </si>
  <si>
    <t xml:space="preserve">Estimate - set to what you pay at the commissary.</t>
  </si>
  <si>
    <t xml:space="preserve">Wood cost per smoke (one smoker load)</t>
  </si>
  <si>
    <t xml:space="preserve">From Anthony: ~$15 a smoke.</t>
  </si>
  <si>
    <t xml:space="preserve">Smokes per smoke day (2 smokers x 2 a day)</t>
  </si>
  <si>
    <t xml:space="preserve">From Anthony: two smokers, twice a day.</t>
  </si>
  <si>
    <t xml:space="preserve">Smoke days per week for this store</t>
  </si>
  <si>
    <t xml:space="preserve">Sun / Mon / Tue cadence. Change if the store volume needs more or fewer.</t>
  </si>
  <si>
    <t xml:space="preserve">Vac bags, foil, labels per raw lb processed</t>
  </si>
  <si>
    <t xml:space="preserve">$/lb</t>
  </si>
  <si>
    <t xml:space="preserve">Estimate.</t>
  </si>
  <si>
    <t xml:space="preserve">Deliveries per week (1 scheduled + emergencies)</t>
  </si>
  <si>
    <t xml:space="preserve">runs</t>
  </si>
  <si>
    <t xml:space="preserve">From Anthony: one delivery a week plus an emergency run when needed (assumed every other week).</t>
  </si>
  <si>
    <t xml:space="preserve">Cost per delivery run (driver time + fuel + vehicle)</t>
  </si>
  <si>
    <t xml:space="preserve">$/run</t>
  </si>
  <si>
    <t xml:space="preserve">Estimate: ~2 hrs driver + fuel/wear.</t>
  </si>
  <si>
    <t xml:space="preserve">Warehouse / commissary rent (monthly)</t>
  </si>
  <si>
    <t xml:space="preserve">$/mo</t>
  </si>
  <si>
    <t xml:space="preserve">From Anthony: $10,100/month.</t>
  </si>
  <si>
    <t xml:space="preserve">Share of warehouse rent charged to this store</t>
  </si>
  <si>
    <t xml:space="preserve">Input. 0% = the store is extra volume through a commissary you already pay for (catering covers the rent). Try 10-20% to see a fully loaded view.</t>
  </si>
  <si>
    <t xml:space="preserve">Commissary process cost per raw lb (calculated on Commissary P&amp;L)</t>
  </si>
  <si>
    <t xml:space="preserve">Labor + wood + bags + delivery divided by raw pounds processed for this store. Feeds the transfer price.</t>
  </si>
  <si>
    <t xml:space="preserve">USDA wholesale benchmarks (what packers sell at, full truckloads)</t>
  </si>
  <si>
    <t xml:space="preserve">Brisket, whole packer IMPS 120, Prime</t>
  </si>
  <si>
    <t xml:space="preserve">USDA AMS LM_XB456 weekly Prime, Oct 19 2026, avg $492/cwt (range $458-$634). Choice was $3.87 (LM_XB403, Oct 26).</t>
  </si>
  <si>
    <t xml:space="preserve">Pork butt, 1/4 trim</t>
  </si>
  <si>
    <t xml:space="preserve">USDA pork cutout morning report Oct 13 2026 via IndexBox write-up (USDA report itself not reached).</t>
  </si>
  <si>
    <t xml:space="preserve">Spare ribs, trimmed medium</t>
  </si>
  <si>
    <t xml:space="preserve">Same USDA pork report, Oct 13 2026.</t>
  </si>
  <si>
    <t xml:space="preserve">Pork belly, skin-on 10-12 lb</t>
  </si>
  <si>
    <t xml:space="preserve">Same USDA pork report. Skinless 13-17 lb was $1.16 but skin-on is closer to what burnt ends use.</t>
  </si>
  <si>
    <t xml:space="preserve">Chicken leg quarters, bulk</t>
  </si>
  <si>
    <t xml:space="preserve">USDA weekly chicken report, Oct 23 2026, avg $52.9/cwt.</t>
  </si>
  <si>
    <t xml:space="preserve">Meat prices you pay today (Station House order guide)</t>
  </si>
  <si>
    <t xml:space="preserve">Brisket, Prime whole packer</t>
  </si>
  <si>
    <t xml:space="preserve">US Foods Prime, $5.72/lb (Anthony, Oct 27). Order guide still lists Centerpoint at $7.82/lb.</t>
  </si>
  <si>
    <t xml:space="preserve">Pork butt, cs 4x14#</t>
  </si>
  <si>
    <t xml:space="preserve">Centerpoint, $115.92/cs.</t>
  </si>
  <si>
    <t xml:space="preserve">Spare ribs 5#+, cs 8/5#+</t>
  </si>
  <si>
    <t xml:space="preserve">Cheney, $115.60/cs.</t>
  </si>
  <si>
    <t xml:space="preserve">Pork belly skin-off</t>
  </si>
  <si>
    <t xml:space="preserve">US Foods, $4.21/lb (Anthony, Oct 27).</t>
  </si>
  <si>
    <t xml:space="preserve">Chicken leg quarters, cs 4x10#</t>
  </si>
  <si>
    <t xml:space="preserve">Centerpoint, $32.40/cs.</t>
  </si>
  <si>
    <t xml:space="preserve">Jalapeno cheddar sausage, cs 10#</t>
  </si>
  <si>
    <t xml:space="preserve">Centerpoint, $58.90/cs.</t>
  </si>
  <si>
    <t xml:space="preserve">Expected savings buying direct vs today (base case)</t>
  </si>
  <si>
    <t xml:space="preserve">Estimate. Sensitivity at 10% / 20% / 30% on Direct vs Distributor. Get a written packer or purveyor quote to replace this.</t>
  </si>
  <si>
    <t xml:space="preserve">Yields and portions</t>
  </si>
  <si>
    <t xml:space="preserve">Brisket cook + trim yield (raw packer to sliced)</t>
  </si>
  <si>
    <t xml:space="preserve">Confirmed by Anthony: 50%.</t>
  </si>
  <si>
    <t xml:space="preserve">Pork butt yield (raw to pulled)</t>
  </si>
  <si>
    <t xml:space="preserve">Rule of thumb 50-60%.</t>
  </si>
  <si>
    <t xml:space="preserve">Pork belly yield (raw to burnt ends)</t>
  </si>
  <si>
    <t xml:space="preserve">Rule of thumb.</t>
  </si>
  <si>
    <t xml:space="preserve">Spare rib rack raw weight</t>
  </si>
  <si>
    <t xml:space="preserve">lb</t>
  </si>
  <si>
    <t xml:space="preserve">Trimmed spare rack, typical 3-4 lb.</t>
  </si>
  <si>
    <t xml:space="preserve">Bones per rack</t>
  </si>
  <si>
    <t xml:space="preserve">bones</t>
  </si>
  <si>
    <t xml:space="preserve">Typical spare rack 11-13 bones.</t>
  </si>
  <si>
    <t xml:space="preserve">Chicken leg quarter raw weight</t>
  </si>
  <si>
    <t xml:space="preserve">Typical 10-14 oz.</t>
  </si>
  <si>
    <t xml:space="preserve">Sausage links per lb</t>
  </si>
  <si>
    <t xml:space="preserve">links</t>
  </si>
  <si>
    <t xml:space="preserve">4 oz links.</t>
  </si>
  <si>
    <t xml:space="preserve">Average raw packer brisket weight</t>
  </si>
  <si>
    <t xml:space="preserve">For converting lbs to whole briskets.</t>
  </si>
  <si>
    <t xml:space="preserve">Average raw pork butt weight</t>
  </si>
  <si>
    <t xml:space="preserve">Prep buffer over forecast</t>
  </si>
  <si>
    <t xml:space="preserve">Extra prepped to avoid selling out; leftovers roll to next day (vac-sealed).</t>
  </si>
  <si>
    <t xml:space="preserve">Menu prices (pre-tax)</t>
  </si>
  <si>
    <t xml:space="preserve">5-Alarm Sampler (2-3 people)</t>
  </si>
  <si>
    <t xml:space="preserve">Current Walk-In Sampler 2-3 price in Square, renamed.</t>
  </si>
  <si>
    <t xml:space="preserve">5-Alarm Sampler (5-6 people)</t>
  </si>
  <si>
    <t xml:space="preserve">Current Walk-In Sampler 5-6 price in Square, renamed.</t>
  </si>
  <si>
    <t xml:space="preserve">Brisket Cuban</t>
  </si>
  <si>
    <t xml:space="preserve">Current Square price.</t>
  </si>
  <si>
    <t xml:space="preserve">Smokin' Cuban</t>
  </si>
  <si>
    <t xml:space="preserve">Raised $2 from $12.99 (Anthony, Oct 27). Brisket Cuban stays $17.99.</t>
  </si>
  <si>
    <t xml:space="preserve">Pre-order: Slow-Smoked Brisket (per lb)</t>
  </si>
  <si>
    <t xml:space="preserve">Commerce / Square catering price.</t>
  </si>
  <si>
    <t xml:space="preserve">Pre-order: Pulled Pork (per lb)</t>
  </si>
  <si>
    <t xml:space="preserve">Commerce price.</t>
  </si>
  <si>
    <t xml:space="preserve">Pre-order: Spare Ribs (per rack)</t>
  </si>
  <si>
    <t xml:space="preserve">Pre-order: Pork Belly Burnt Ends (per lb)</t>
  </si>
  <si>
    <t xml:space="preserve">Pre-order: Jalapeno Cheddar Sausage (per link)</t>
  </si>
  <si>
    <t xml:space="preserve">Pre-order: Chicken Leg Quarter (each)</t>
  </si>
  <si>
    <t xml:space="preserve">Side, 6 oz (mac, beans or slaw)</t>
  </si>
  <si>
    <t xml:space="preserve">Banana Pudding (cup)</t>
  </si>
  <si>
    <t xml:space="preserve">Seminole Heights Square price.</t>
  </si>
  <si>
    <t xml:space="preserve">Fountain drink, 24 oz (free refills)</t>
  </si>
  <si>
    <t xml:space="preserve">Estimate - switched from bottled to fountain (Anthony, Oct 27).</t>
  </si>
  <si>
    <t xml:space="preserve">Cornbread with tallow honey butter</t>
  </si>
  <si>
    <t xml:space="preserve">Seminole Heights sold cornbread at ~$2.99 (158 sold, $472).</t>
  </si>
  <si>
    <t xml:space="preserve">Party Sampler - Feeds 10 (catering)</t>
  </si>
  <si>
    <t xml:space="preserve">Party Sampler - Feeds 20 (catering)</t>
  </si>
  <si>
    <t xml:space="preserve">Party Sampler - Feeds 30 (catering)</t>
  </si>
  <si>
    <t xml:space="preserve">Party Sampler - Feeds 50 (catering)</t>
  </si>
  <si>
    <t xml:space="preserve">General manager salary (annual)</t>
  </si>
  <si>
    <t xml:space="preserve">$/yr</t>
  </si>
  <si>
    <t xml:space="preserve">Estimate. If Anthony runs the store himself, set to his draw or 0.</t>
  </si>
  <si>
    <t xml:space="preserve">Hourly crew on shift</t>
  </si>
  <si>
    <t xml:space="preserve">people</t>
  </si>
  <si>
    <t xml:space="preserve">Cutter, Cubans/sides, pickup/to-go. GM works the register.</t>
  </si>
  <si>
    <t xml:space="preserve">Hours per crew member per day</t>
  </si>
  <si>
    <t xml:space="preserve">hrs</t>
  </si>
  <si>
    <t xml:space="preserve">8:30am prep to 3:30pm close-out.</t>
  </si>
  <si>
    <t xml:space="preserve">Crew hourly rate</t>
  </si>
  <si>
    <t xml:space="preserve">Estimate for Tampa back-of-house.</t>
  </si>
  <si>
    <t xml:space="preserve">Payroll taxes + workers comp</t>
  </si>
  <si>
    <t xml:space="preserve">FICA 7.65% + FUTA/SUTA + WC estimate.</t>
  </si>
  <si>
    <t xml:space="preserve">Evening catering pickup: crew on shift</t>
  </si>
  <si>
    <t xml:space="preserve">Catering pickups only after lunch, until 7:00 pm, so no extra line staff (Anthony, Oct 27).</t>
  </si>
  <si>
    <t xml:space="preserve">Evening catering pickup: hours per day (2:30-7:30)</t>
  </si>
  <si>
    <t xml:space="preserve">Stage orders, hand off, close at 7:00, clean down.</t>
  </si>
  <si>
    <t xml:space="preserve">Store smoker: extra crew hours per day (7:00 start for daily chicken)</t>
  </si>
  <si>
    <t xml:space="preserve">Estimate: opener comes in early to load the smoker; chicken ready by 10:30.</t>
  </si>
  <si>
    <t xml:space="preserve">Store smoker: smokes per day</t>
  </si>
  <si>
    <t xml:space="preserve">Daily fresh chicken (Anthony: smoker at the store, daily smoke).</t>
  </si>
  <si>
    <t xml:space="preserve">Ownership - who makes money</t>
  </si>
  <si>
    <t xml:space="preserve">Station House (Anthony) ownership of the store</t>
  </si>
  <si>
    <t xml:space="preserve">Input - deal not set. Operating partner share; investor owns the rest.</t>
  </si>
  <si>
    <t xml:space="preserve">Share of startup cost the investor puts in</t>
  </si>
  <si>
    <t xml:space="preserve">Input. 100% = investor funds everything.</t>
  </si>
  <si>
    <t xml:space="preserve">Station House management / brand fee (% of store sales)</t>
  </si>
  <si>
    <t xml:space="preserve">Input. Paid to Station House before profit split, for brand, systems, recipes and oversight. Set to 0% if not part of the deal.</t>
  </si>
  <si>
    <t xml:space="preserve">Space type the plan uses: 1 = raw shell (1st gen), 2 = former restaurant (2nd gen)</t>
  </si>
  <si>
    <t xml:space="preserve">Drives payback and investor return. Both budgets are on Startup Budget.</t>
  </si>
  <si>
    <t xml:space="preserve">Occupancy and fixed costs (monthly)</t>
  </si>
  <si>
    <t xml:space="preserve">Base rent (1,500 sq ft)</t>
  </si>
  <si>
    <t xml:space="preserve">From Anthony: ~$6K/month.</t>
  </si>
  <si>
    <t xml:space="preserve">NNN / CAM (taxes, insurance, common area)</t>
  </si>
  <si>
    <t xml:space="preserve">Estimate ~$12/sf/yr. Confirm with landlord.</t>
  </si>
  <si>
    <t xml:space="preserve">Utilities (3-phase electric, water, gas)</t>
  </si>
  <si>
    <t xml:space="preserve">Estimate; combi + kettle + holding are electric.</t>
  </si>
  <si>
    <t xml:space="preserve">Insurance (GL, property, liquor n/a)</t>
  </si>
  <si>
    <t xml:space="preserve">Square software, KDS, online ordering</t>
  </si>
  <si>
    <t xml:space="preserve">Internet + phone (Quo)</t>
  </si>
  <si>
    <t xml:space="preserve">Towels / linens</t>
  </si>
  <si>
    <t xml:space="preserve">Cintas renegotiated to ~$150/week.</t>
  </si>
  <si>
    <t xml:space="preserve">Pest control</t>
  </si>
  <si>
    <t xml:space="preserve">Trash + grease trap service</t>
  </si>
  <si>
    <t xml:space="preserve">Repairs + maintenance</t>
  </si>
  <si>
    <t xml:space="preserve">Bookkeeping / accounting</t>
  </si>
  <si>
    <t xml:space="preserve">Licenses + permits (monthly allowance)</t>
  </si>
  <si>
    <t xml:space="preserve">DBPR, city/county BTR, fire inspection.</t>
  </si>
  <si>
    <t xml:space="preserve">Variable costs (% of sales)</t>
  </si>
  <si>
    <t xml:space="preserve">Card processing (Square)</t>
  </si>
  <si>
    <t xml:space="preserve">Square in-person 2.6% + $0.15 on a ~$47 ticket = ~2.9%.</t>
  </si>
  <si>
    <t xml:space="preserve">Marketing</t>
  </si>
  <si>
    <t xml:space="preserve">Waste / comps (% of food cost)</t>
  </si>
  <si>
    <t xml:space="preserve">Meat cost and commissary transfer price</t>
  </si>
  <si>
    <t xml:space="preserve">Commissary buys raw meat, smokes, chills and vac-packs it, then sells it to the store at cost + markup. Store pays the transfer price.</t>
  </si>
  <si>
    <t xml:space="preserve">Protein</t>
  </si>
  <si>
    <t xml:space="preserve">Unit sold to store</t>
  </si>
  <si>
    <t xml:space="preserve">USDA $/lb</t>
  </si>
  <si>
    <t xml:space="preserve">You pay today $/lb (order guide)</t>
  </si>
  <si>
    <t xml:space="preserve">Raw lb per unit</t>
  </si>
  <si>
    <t xml:space="preserve">Raw cost per unit</t>
  </si>
  <si>
    <t xml:space="preserve">Commissary process cost per unit (labor, wood, bags, delivery)</t>
  </si>
  <si>
    <t xml:space="preserve">Commissary cost per unit</t>
  </si>
  <si>
    <t xml:space="preserve">Markup</t>
  </si>
  <si>
    <t xml:space="preserve">Store pays (transfer)</t>
  </si>
  <si>
    <t xml:space="preserve">Commissary profit per unit</t>
  </si>
  <si>
    <t xml:space="preserve">Brisket (sliced)</t>
  </si>
  <si>
    <t xml:space="preserve">cooked lb</t>
  </si>
  <si>
    <t xml:space="preserve">Pulled pork</t>
  </si>
  <si>
    <t xml:space="preserve">Pork belly burnt ends</t>
  </si>
  <si>
    <t xml:space="preserve">Spare ribs</t>
  </si>
  <si>
    <t xml:space="preserve">rack</t>
  </si>
  <si>
    <t xml:space="preserve">Chicken leg quarter</t>
  </si>
  <si>
    <t xml:space="preserve">each</t>
  </si>
  <si>
    <t xml:space="preserve">Raw on the weekly delivery; smoked fresh daily at the store</t>
  </si>
  <si>
    <t xml:space="preserve">Jalapeno cheddar sausage</t>
  </si>
  <si>
    <t xml:space="preserve">link</t>
  </si>
  <si>
    <t xml:space="preserve">n/a</t>
  </si>
  <si>
    <t xml:space="preserve">Rib bone (for samplers)</t>
  </si>
  <si>
    <t xml:space="preserve">bone</t>
  </si>
  <si>
    <t xml:space="preserve">How to read this: "Store pays" is what the restaurant is charged per unit and is what Menu Costing uses. Purchase prices are what you pay today per the Station House order guide (Centerpoint / Cheney). USDA is shown only as a benchmark; see Direct vs Distributor.</t>
  </si>
  <si>
    <t xml:space="preserve">Brisket price warning: in late Sept 2026 USDA grocery brisket specials jumped from $5.29 to $11.05/lb and some BBQ operators saw wholesale go from &lt;$6 to ~$8/lb (KY3, Sep 29 2026). Re-check before you sign anything.</t>
  </si>
  <si>
    <t xml:space="preserve">Sides, desserts, bread, sauces and packaging - store buys these</t>
  </si>
  <si>
    <t xml:space="preserve">Prices from the Station House order guide (Cheney, US Foods, La Segunda) where listed; column G says which. Lines marked Estimate are not in the order guide.</t>
  </si>
  <si>
    <t xml:space="preserve">House BBQ sauce (Sweet Eddie / Carolina Gold / Spicy avg)  (batch yields 128 oz)</t>
  </si>
  <si>
    <t xml:space="preserve">Ingredient</t>
  </si>
  <si>
    <t xml:space="preserve">Qty / batch</t>
  </si>
  <si>
    <t xml:space="preserve">Unit</t>
  </si>
  <si>
    <t xml:space="preserve">Cost per unit</t>
  </si>
  <si>
    <t xml:space="preserve">Batch cost</t>
  </si>
  <si>
    <t xml:space="preserve">Buy as (pack)</t>
  </si>
  <si>
    <t xml:space="preserve">Note</t>
  </si>
  <si>
    <t xml:space="preserve">Ketchup, #10 can</t>
  </si>
  <si>
    <t xml:space="preserve">can</t>
  </si>
  <si>
    <t xml:space="preserve">6 x #10 case</t>
  </si>
  <si>
    <t xml:space="preserve">Order guide: Cheney 6/#10 $47.12</t>
  </si>
  <si>
    <t xml:space="preserve">Brown sugar</t>
  </si>
  <si>
    <t xml:space="preserve">25 lb bag</t>
  </si>
  <si>
    <t xml:space="preserve">Order guide: Cheney 25# $33.43</t>
  </si>
  <si>
    <t xml:space="preserve">Vinegar</t>
  </si>
  <si>
    <t xml:space="preserve">oz</t>
  </si>
  <si>
    <t xml:space="preserve">4 x 1 gal</t>
  </si>
  <si>
    <t xml:space="preserve">Order guide: Cheney distilled 4/1gal $20.61</t>
  </si>
  <si>
    <t xml:space="preserve">Worcestershire</t>
  </si>
  <si>
    <t xml:space="preserve">Estimate</t>
  </si>
  <si>
    <t xml:space="preserve">Spices / rub</t>
  </si>
  <si>
    <t xml:space="preserve">batch</t>
  </si>
  <si>
    <t xml:space="preserve">Flashover rub, in-house</t>
  </si>
  <si>
    <t xml:space="preserve">Batch yield (oz)</t>
  </si>
  <si>
    <t xml:space="preserve">Cost per oz</t>
  </si>
  <si>
    <t xml:space="preserve">Beef tallow smoked mac &amp; cheese  (batch yields 256 oz)</t>
  </si>
  <si>
    <t xml:space="preserve">Cavatappi</t>
  </si>
  <si>
    <t xml:space="preserve">4 x 5 lb</t>
  </si>
  <si>
    <t xml:space="preserve">Order guide: US Foods 4/5# $35.92</t>
  </si>
  <si>
    <t xml:space="preserve">Smoked cheddar</t>
  </si>
  <si>
    <t xml:space="preserve">4 x 2.25 lb</t>
  </si>
  <si>
    <t xml:space="preserve">Order guide: Cheney 4/2.25# $50.31</t>
  </si>
  <si>
    <t xml:space="preserve">Smoked gouda</t>
  </si>
  <si>
    <t xml:space="preserve">2 x 6 lb</t>
  </si>
  <si>
    <t xml:space="preserve">Order guide: US Foods $5.27 (listed; confirm $/lb)</t>
  </si>
  <si>
    <t xml:space="preserve">Whole milk</t>
  </si>
  <si>
    <t xml:space="preserve">gal</t>
  </si>
  <si>
    <t xml:space="preserve">Order guide: Cheney 4/1gal $26.41</t>
  </si>
  <si>
    <t xml:space="preserve">Heavy cream</t>
  </si>
  <si>
    <t xml:space="preserve">qt</t>
  </si>
  <si>
    <t xml:space="preserve">12 x 1 qt</t>
  </si>
  <si>
    <t xml:space="preserve">Order guide: Cheney 12/1qt $55.57</t>
  </si>
  <si>
    <t xml:space="preserve">Butter</t>
  </si>
  <si>
    <t xml:space="preserve">36 x 1 lb</t>
  </si>
  <si>
    <t xml:space="preserve">Order guide: US Foods 36/1# $84.02</t>
  </si>
  <si>
    <t xml:space="preserve">Seasoning</t>
  </si>
  <si>
    <t xml:space="preserve">Cowboy beans (brisket)  (batch yields 340 oz)</t>
  </si>
  <si>
    <t xml:space="preserve">Baked beans, #10 can</t>
  </si>
  <si>
    <t xml:space="preserve">Order guide: US Foods 6/#10 $46.13</t>
  </si>
  <si>
    <t xml:space="preserve">Brisket trim / burnt ends trim</t>
  </si>
  <si>
    <t xml:space="preserve">commissary trim (internal value)</t>
  </si>
  <si>
    <t xml:space="preserve">Yellow onion</t>
  </si>
  <si>
    <t xml:space="preserve">50 lb sack</t>
  </si>
  <si>
    <t xml:space="preserve">Bell pepper</t>
  </si>
  <si>
    <t xml:space="preserve">case</t>
  </si>
  <si>
    <t xml:space="preserve">House BBQ sauce</t>
  </si>
  <si>
    <t xml:space="preserve">Mustard / spice</t>
  </si>
  <si>
    <t xml:space="preserve">Apple coleslaw  (batch yields 160 oz)</t>
  </si>
  <si>
    <t xml:space="preserve">Coleslaw mix</t>
  </si>
  <si>
    <t xml:space="preserve">Order guide: Cheney 4/5# $30.31</t>
  </si>
  <si>
    <t xml:space="preserve">Apples</t>
  </si>
  <si>
    <t xml:space="preserve">12 x 3 lb</t>
  </si>
  <si>
    <t xml:space="preserve">Order guide: Cheney 12/3# $50.89</t>
  </si>
  <si>
    <t xml:space="preserve">Mayonnaise</t>
  </si>
  <si>
    <t xml:space="preserve">Order guide: US Foods 4/1gal $56.53</t>
  </si>
  <si>
    <t xml:space="preserve">Sugar</t>
  </si>
  <si>
    <t xml:space="preserve">50 lb bag</t>
  </si>
  <si>
    <t xml:space="preserve">Order guide: Cheney 50# $39.16</t>
  </si>
  <si>
    <t xml:space="preserve">From-scratch banana pudding  (batch yields 24 cups)</t>
  </si>
  <si>
    <t xml:space="preserve">Vanilla pudding base</t>
  </si>
  <si>
    <t xml:space="preserve">6 x #10 or 12 x 2 lb</t>
  </si>
  <si>
    <t xml:space="preserve">Bananas</t>
  </si>
  <si>
    <t xml:space="preserve">40 lb case</t>
  </si>
  <si>
    <t xml:space="preserve">Vanilla wafers</t>
  </si>
  <si>
    <t xml:space="preserve">2 x 2 lb</t>
  </si>
  <si>
    <t xml:space="preserve">Order guide: Cheney 2/2# $21.56</t>
  </si>
  <si>
    <t xml:space="preserve">Whipped topping</t>
  </si>
  <si>
    <t xml:space="preserve">Batch yield (cups)</t>
  </si>
  <si>
    <t xml:space="preserve">Cost per cup</t>
  </si>
  <si>
    <t xml:space="preserve">Pickled red onions  (batch yields 80 oz)</t>
  </si>
  <si>
    <t xml:space="preserve">Red onions</t>
  </si>
  <si>
    <t xml:space="preserve">25 lb</t>
  </si>
  <si>
    <t xml:space="preserve">Order guide: Cheney 25# $25.97</t>
  </si>
  <si>
    <t xml:space="preserve">Order guide: Cheney 4/1gal $20.61</t>
  </si>
  <si>
    <t xml:space="preserve">Salt / spice</t>
  </si>
  <si>
    <t xml:space="preserve">Jerk mayo-mustard-relish aioli (Smokin' Cuban)  (batch yields 64 oz)</t>
  </si>
  <si>
    <t xml:space="preserve">Yellow mustard</t>
  </si>
  <si>
    <t xml:space="preserve">Order guide: Cheney 4/1gal $40.14</t>
  </si>
  <si>
    <t xml:space="preserve">Sweet relish</t>
  </si>
  <si>
    <t xml:space="preserve">Jerk seasoning</t>
  </si>
  <si>
    <t xml:space="preserve">Guava BBQ sauce  (batch yields 96 oz)</t>
  </si>
  <si>
    <t xml:space="preserve">Guava paste</t>
  </si>
  <si>
    <t xml:space="preserve">Cornbread (sheet pan)  (batch yields 40 pieces)</t>
  </si>
  <si>
    <t xml:space="preserve">Cornbread mix, 64 oz bag</t>
  </si>
  <si>
    <t xml:space="preserve">bag</t>
  </si>
  <si>
    <t xml:space="preserve">4 x 64 oz</t>
  </si>
  <si>
    <t xml:space="preserve">Order guide: US Foods 4/64oz $58.92</t>
  </si>
  <si>
    <t xml:space="preserve">Eggs</t>
  </si>
  <si>
    <t xml:space="preserve">15 dozen</t>
  </si>
  <si>
    <t xml:space="preserve">Order guide: US Foods 15 dz $26.70</t>
  </si>
  <si>
    <t xml:space="preserve">Butter (melted, in batter)</t>
  </si>
  <si>
    <t xml:space="preserve">Batch yield (pieces)</t>
  </si>
  <si>
    <t xml:space="preserve">Cost per piece</t>
  </si>
  <si>
    <t xml:space="preserve">Tallow honey butter  (batch yields 32 oz)</t>
  </si>
  <si>
    <t xml:space="preserve">Beef tallow (rendered brisket trim)</t>
  </si>
  <si>
    <t xml:space="preserve">Honey</t>
  </si>
  <si>
    <t xml:space="preserve">6 x 5 lb</t>
  </si>
  <si>
    <t xml:space="preserve">Order guide: Cheney 6/5# $70.16</t>
  </si>
  <si>
    <t xml:space="preserve">Salt</t>
  </si>
  <si>
    <t xml:space="preserve">Single-unit items (bread, deli, pickles, packaging, drinks)</t>
  </si>
  <si>
    <t xml:space="preserve">Item</t>
  </si>
  <si>
    <t xml:space="preserve">Texas toast, per slice</t>
  </si>
  <si>
    <t xml:space="preserve">slice</t>
  </si>
  <si>
    <t xml:space="preserve">Order guide: Cheney 8/24oz $44.69; ~20 slices per loaf</t>
  </si>
  <si>
    <t xml:space="preserve">Dill pickle chips</t>
  </si>
  <si>
    <t xml:space="preserve">Order guide: Cheney 4/1gal $43.76; ~80 oz drained per gal</t>
  </si>
  <si>
    <t xml:space="preserve">Cuban bread (per sandwich)</t>
  </si>
  <si>
    <t xml:space="preserve">Order guide: La Segunda $2.35/loaf, 5 sandwiches per loaf</t>
  </si>
  <si>
    <t xml:space="preserve">Swiss cheese, sliced</t>
  </si>
  <si>
    <t xml:space="preserve">Order guide: Cheney 2/12.5# $113.25 ($4.53/lb)</t>
  </si>
  <si>
    <t xml:space="preserve">Ham, round smoked boneless</t>
  </si>
  <si>
    <t xml:space="preserve">Order guide: Cheney 2/11.5# $103.27 ($4.49/lb)</t>
  </si>
  <si>
    <t xml:space="preserve">Genoa salami, sliced</t>
  </si>
  <si>
    <t xml:space="preserve">Estimate ~$6.00/lb - vendor not set in order guide yet</t>
  </si>
  <si>
    <t xml:space="preserve">Butter (press)</t>
  </si>
  <si>
    <t xml:space="preserve">Packaging: 5-Alarm 2-3</t>
  </si>
  <si>
    <t xml:space="preserve">Foam 9x9 box .19 + liner .09 + 2 pint cups .39 + 5 souffle cups/lids .17 + kraft bag .32 + 2 cutlery kits .36 + napkins .07 + sticker .75 (order guide)</t>
  </si>
  <si>
    <t xml:space="preserve">Packaging: 5-Alarm 5-6</t>
  </si>
  <si>
    <t xml:space="preserve">Half foil pan + lid .88 + liners .18 + 3 pint cups .58 + 5 souffle cups .17 + bag .32 + 5 cutlery kits .89 + napkins .10 + sticker .75 (order guide)</t>
  </si>
  <si>
    <t xml:space="preserve">Packaging: Cuban (box + liner + napkin)</t>
  </si>
  <si>
    <t xml:space="preserve">Foam 9x9 .19 + liner .09 + napkin .02 (order guide)</t>
  </si>
  <si>
    <t xml:space="preserve">Packaging: side container + lid</t>
  </si>
  <si>
    <t xml:space="preserve">5 oz container .16 + lid .09 (order guide)</t>
  </si>
  <si>
    <t xml:space="preserve">Packaging: pudding container + lid + spoon</t>
  </si>
  <si>
    <t xml:space="preserve">5 oz container + lid .25 + spoon .05</t>
  </si>
  <si>
    <t xml:space="preserve">Packaging: pre-order pan + lid + bag + sticker</t>
  </si>
  <si>
    <t xml:space="preserve">Half foil pan .52 + lid .35 + kraft bag .32 + sticker .75 (order guide)</t>
  </si>
  <si>
    <t xml:space="preserve">Fountain drink, 24 oz (syrup + CO2 + cup, lid, straw)</t>
  </si>
  <si>
    <t xml:space="preserve">Estimate: 5-gal syrup bag-in-box ~$85 makes ~3,840 oz at 5:1 -&gt; ~16 oz drink + ice = $0.35; CO2 $0.02; 24 oz cup $0.10, lid $0.04, straw $0.01. Get the Pepsi fountain quote - dispenser is usually loaned free with a syrup contract.</t>
  </si>
  <si>
    <t xml:space="preserve">Packaging: Party Sampler Feeds 10</t>
  </si>
  <si>
    <t xml:space="preserve">2 full foil pans + lids, 1 half pan + lid, 7 pint containers, bag, sticker, 10 plate/cutlery/napkin sets (order guide prices)</t>
  </si>
  <si>
    <t xml:space="preserve">Packaging: Party Sampler Feeds 20</t>
  </si>
  <si>
    <t xml:space="preserve">3 full pans + full mac pan, 2 half pans, 6 pints, 2 bags, sticker, 20 place settings</t>
  </si>
  <si>
    <t xml:space="preserve">Packaging: Party Sampler Feeds 30</t>
  </si>
  <si>
    <t xml:space="preserve">4 full pans + full mac pan, 2 half pans, 9 pints, 3 bags, sticker, 30 place settings</t>
  </si>
  <si>
    <t xml:space="preserve">Packaging: Party Sampler Feeds 50</t>
  </si>
  <si>
    <t xml:space="preserve">6 full meat pans, 2 full mac pans, 2 full side pans, 9 pints, 4 bags, sticker, 50 place settings</t>
  </si>
  <si>
    <t xml:space="preserve">Menu costing - plate cost of every item</t>
  </si>
  <si>
    <t xml:space="preserve">Each column is a menu item; each row is a component and how much of it the item uses. Plate cost = quantity x unit cost. Meats are costed at the commissary transfer price.</t>
  </si>
  <si>
    <t xml:space="preserve">Component</t>
  </si>
  <si>
    <t xml:space="preserve">Category</t>
  </si>
  <si>
    <t xml:space="preserve">Unit cost</t>
  </si>
  <si>
    <t xml:space="preserve">5-Alarm Sampler 2-3</t>
  </si>
  <si>
    <t xml:space="preserve">5-Alarm Sampler 5-6</t>
  </si>
  <si>
    <t xml:space="preserve">Pre-order Brisket /lb</t>
  </si>
  <si>
    <t xml:space="preserve">Pre-order Pulled Pork /lb</t>
  </si>
  <si>
    <t xml:space="preserve">Pre-order Spare Ribs /rack</t>
  </si>
  <si>
    <t xml:space="preserve">Pre-order Burnt Ends /lb</t>
  </si>
  <si>
    <t xml:space="preserve">Pre-order Sausage /link</t>
  </si>
  <si>
    <t xml:space="preserve">Pre-order Chicken LQ</t>
  </si>
  <si>
    <t xml:space="preserve">Mac &amp; Cheese 6 oz</t>
  </si>
  <si>
    <t xml:space="preserve">Cowboy Beans 6 oz</t>
  </si>
  <si>
    <t xml:space="preserve">Apple Slaw 6 oz</t>
  </si>
  <si>
    <t xml:space="preserve">Banana Pudding</t>
  </si>
  <si>
    <t xml:space="preserve">Fountain drink</t>
  </si>
  <si>
    <t xml:space="preserve">Cornbread + tallow butter</t>
  </si>
  <si>
    <t xml:space="preserve">Party Sampler Feeds 10</t>
  </si>
  <si>
    <t xml:space="preserve">Party Sampler Feeds 20</t>
  </si>
  <si>
    <t xml:space="preserve">Party Sampler Feeds 30</t>
  </si>
  <si>
    <t xml:space="preserve">Party Sampler Feeds 50</t>
  </si>
  <si>
    <t xml:space="preserve">Meat</t>
  </si>
  <si>
    <t xml:space="preserve">Burnt ends</t>
  </si>
  <si>
    <t xml:space="preserve">Spare rib (bone)</t>
  </si>
  <si>
    <t xml:space="preserve">Mac &amp; cheese</t>
  </si>
  <si>
    <t xml:space="preserve">Food</t>
  </si>
  <si>
    <t xml:space="preserve">Cowboy beans</t>
  </si>
  <si>
    <t xml:space="preserve">Apple coleslaw</t>
  </si>
  <si>
    <t xml:space="preserve">Banana pudding</t>
  </si>
  <si>
    <t xml:space="preserve">cup</t>
  </si>
  <si>
    <t xml:space="preserve">Texas toast</t>
  </si>
  <si>
    <t xml:space="preserve">Pickles</t>
  </si>
  <si>
    <t xml:space="preserve">Pickled onions</t>
  </si>
  <si>
    <t xml:space="preserve">BBQ sauce</t>
  </si>
  <si>
    <t xml:space="preserve">Cuban bread</t>
  </si>
  <si>
    <t xml:space="preserve">Swiss</t>
  </si>
  <si>
    <t xml:space="preserve">Ham</t>
  </si>
  <si>
    <t xml:space="preserve">Salami</t>
  </si>
  <si>
    <t xml:space="preserve">Jerk aioli</t>
  </si>
  <si>
    <t xml:space="preserve">Guava BBQ</t>
  </si>
  <si>
    <t xml:space="preserve">Cornbread</t>
  </si>
  <si>
    <t xml:space="preserve">piece</t>
  </si>
  <si>
    <t xml:space="preserve">Tallow honey butter</t>
  </si>
  <si>
    <t xml:space="preserve">Pack: sampler 2-3</t>
  </si>
  <si>
    <t xml:space="preserve">Packaging</t>
  </si>
  <si>
    <t xml:space="preserve">Pack: sampler 5-6</t>
  </si>
  <si>
    <t xml:space="preserve">Pack: Cuban</t>
  </si>
  <si>
    <t xml:space="preserve">Pack: side cup</t>
  </si>
  <si>
    <t xml:space="preserve">Pack: pudding cup</t>
  </si>
  <si>
    <t xml:space="preserve">Pack: pre-order pan</t>
  </si>
  <si>
    <t xml:space="preserve">Pack: Party Sampler 10</t>
  </si>
  <si>
    <t xml:space="preserve">Pack: Party Sampler 20</t>
  </si>
  <si>
    <t xml:space="preserve">Pack: Party Sampler 30</t>
  </si>
  <si>
    <t xml:space="preserve">Pack: Party Sampler 50</t>
  </si>
  <si>
    <t xml:space="preserve">Meat cost</t>
  </si>
  <si>
    <t xml:space="preserve">Other food cost</t>
  </si>
  <si>
    <t xml:space="preserve">Total plate cost</t>
  </si>
  <si>
    <t xml:space="preserve">Menu price</t>
  </si>
  <si>
    <t xml:space="preserve">Food + packaging cost %</t>
  </si>
  <si>
    <t xml:space="preserve">Gross profit per item</t>
  </si>
  <si>
    <t xml:space="preserve">Commissary profit inside this item (meat markup)</t>
  </si>
  <si>
    <t xml:space="preserve">Party Sampler builds are the Commerce catalog descriptions (half pan = 128 oz, full pan = 256 oz, pint = 16 oz, Texas loaf = 20 slices). Cornbread comes with 0.5 oz tallow honey butter.</t>
  </si>
  <si>
    <t xml:space="preserve">Quantities: 5-Alarm 2-3 and 5-6 builds are from the current Walk-In Sampler descriptions in Square. Cuban builds from the Square item descriptions (Brisket Cuban: brisket, Swiss, pickled onions; Smokin' Cuban: pork, ham, salami, jerk mayo-mustard-relish aioli, guava BBQ). Portion weights for the Cubans are estimates.</t>
  </si>
  <si>
    <t xml:space="preserve">Daily sales forecast and monthly P&amp;L (3 scenarios)</t>
  </si>
  <si>
    <t xml:space="preserve">Base units per day are inputs (blue). Conservative and Strong scale the base by the multipliers on Assumptions.</t>
  </si>
  <si>
    <t xml:space="preserve">Menu item</t>
  </si>
  <si>
    <t xml:space="preserve">Price</t>
  </si>
  <si>
    <t xml:space="preserve">Base units / day (catering = per week / 5)</t>
  </si>
  <si>
    <t xml:space="preserve">Conservative units</t>
  </si>
  <si>
    <t xml:space="preserve">Strong units</t>
  </si>
  <si>
    <t xml:space="preserve">Revenue / day (Cons.)</t>
  </si>
  <si>
    <t xml:space="preserve">Revenue / day (Base)</t>
  </si>
  <si>
    <t xml:space="preserve">Revenue / day (Strong)</t>
  </si>
  <si>
    <t xml:space="preserve">Daily sales</t>
  </si>
  <si>
    <t xml:space="preserve">Implied tickets / day at Seminole avg ticket</t>
  </si>
  <si>
    <t xml:space="preserve">Weekly sales</t>
  </si>
  <si>
    <t xml:space="preserve">Evening catering base: 4 Feeds-10, 2 Feeds-20, 1 Feeds-30 and 1 Feeds-50 every two weeks, picked up 2:30-7:00 pm (estimate - set your own target).</t>
  </si>
  <si>
    <t xml:space="preserve">Base units set so the base day (~$2,800) matches Seminole Heights Thu-Sat average ($2.1K-$2.9K/day, Sep 18-Oct 27) with walk-in à la carte removed and pre-orders added.</t>
  </si>
  <si>
    <t xml:space="preserve">Monthly P&amp;L</t>
  </si>
  <si>
    <t xml:space="preserve">  Walk-in lunch (samplers, Cubans, sides, drinks)</t>
  </si>
  <si>
    <t xml:space="preserve">  Pre-orders (meats by the pound, to-go window)</t>
  </si>
  <si>
    <t xml:space="preserve">  Evening catering pickups (Party Samplers, until 7 pm)</t>
  </si>
  <si>
    <t xml:space="preserve">Revenue</t>
  </si>
  <si>
    <t xml:space="preserve">  Meats (commissary transfer price)</t>
  </si>
  <si>
    <t xml:space="preserve">  Other food (sides, bread, deli, drinks)</t>
  </si>
  <si>
    <t xml:space="preserve">  Packaging</t>
  </si>
  <si>
    <t xml:space="preserve">  Waste / comps</t>
  </si>
  <si>
    <t xml:space="preserve">Total cost of goods</t>
  </si>
  <si>
    <t xml:space="preserve">  COGS % of sales</t>
  </si>
  <si>
    <t xml:space="preserve">Gross profit</t>
  </si>
  <si>
    <t xml:space="preserve">  GM salary</t>
  </si>
  <si>
    <t xml:space="preserve">  Hourly crew (incl. early smoker start)</t>
  </si>
  <si>
    <t xml:space="preserve">  Evening catering pickup shift</t>
  </si>
  <si>
    <t xml:space="preserve">  Payroll taxes + WC</t>
  </si>
  <si>
    <t xml:space="preserve">Total labor</t>
  </si>
  <si>
    <t xml:space="preserve">  Labor % of sales</t>
  </si>
  <si>
    <t xml:space="preserve">  Prime cost % (COGS + labor)</t>
  </si>
  <si>
    <t xml:space="preserve">  Rent</t>
  </si>
  <si>
    <t xml:space="preserve">  NNN / CAM</t>
  </si>
  <si>
    <t xml:space="preserve">  Utilities</t>
  </si>
  <si>
    <t xml:space="preserve">Total occupancy</t>
  </si>
  <si>
    <t xml:space="preserve">  Card processing</t>
  </si>
  <si>
    <t xml:space="preserve">  Marketing</t>
  </si>
  <si>
    <t xml:space="preserve">  Insurance</t>
  </si>
  <si>
    <t xml:space="preserve">  Square software / online ordering</t>
  </si>
  <si>
    <t xml:space="preserve">  Internet + phone</t>
  </si>
  <si>
    <t xml:space="preserve">  Towels / linens</t>
  </si>
  <si>
    <t xml:space="preserve">  Pest control</t>
  </si>
  <si>
    <t xml:space="preserve">  Trash + grease</t>
  </si>
  <si>
    <t xml:space="preserve">  Repairs + maintenance</t>
  </si>
  <si>
    <t xml:space="preserve">  Bookkeeping / accounting</t>
  </si>
  <si>
    <t xml:space="preserve">  On-site smoker wood / pellets</t>
  </si>
  <si>
    <t xml:space="preserve">  Licenses + permits</t>
  </si>
  <si>
    <t xml:space="preserve">Total other operating</t>
  </si>
  <si>
    <t xml:space="preserve">Store EBITDA (before investor return, debt, depreciation)</t>
  </si>
  <si>
    <t xml:space="preserve">  EBITDA margin</t>
  </si>
  <si>
    <t xml:space="preserve">Annual store EBITDA</t>
  </si>
  <si>
    <t xml:space="preserve">Memo: commissary profit from this store (meat markup), monthly</t>
  </si>
  <si>
    <t xml:space="preserve">Memo: combined Station House profit (store EBITDA + commissary markup)</t>
  </si>
  <si>
    <t xml:space="preserve">Payback on startup cost (months, store EBITDA only)</t>
  </si>
  <si>
    <t xml:space="preserve">Break-even</t>
  </si>
  <si>
    <t xml:space="preserve">Fixed costs divided by contribution margin. Uses the Base scenario cost structure.</t>
  </si>
  <si>
    <t xml:space="preserve">Fixed monthly costs</t>
  </si>
  <si>
    <t xml:space="preserve">Labor (GM + crew + payroll taxes)</t>
  </si>
  <si>
    <t xml:space="preserve">Treated as fixed: a lunch-only crew is scheduled the same every day.</t>
  </si>
  <si>
    <t xml:space="preserve">Occupancy (rent, NNN, utilities)</t>
  </si>
  <si>
    <t xml:space="preserve">Fixed operating (insurance, software, linens, repairs, etc.)</t>
  </si>
  <si>
    <t xml:space="preserve">Total fixed costs per month</t>
  </si>
  <si>
    <t xml:space="preserve">Variable costs (% of sales, Base mix)</t>
  </si>
  <si>
    <t xml:space="preserve">Cost of goods %</t>
  </si>
  <si>
    <t xml:space="preserve">Card processing %</t>
  </si>
  <si>
    <t xml:space="preserve">Marketing %</t>
  </si>
  <si>
    <t xml:space="preserve">Contribution margin %</t>
  </si>
  <si>
    <t xml:space="preserve">Break-even sales</t>
  </si>
  <si>
    <t xml:space="preserve">Break-even sales per month</t>
  </si>
  <si>
    <t xml:space="preserve">Compare: Anthony's rule of thumb for retail is ~$10K/week to be worth opening.</t>
  </si>
  <si>
    <t xml:space="preserve">Break-even sales per day open</t>
  </si>
  <si>
    <t xml:space="preserve">Break-even tickets per day (at $46.80 avg ticket)</t>
  </si>
  <si>
    <t xml:space="preserve">Same thing in 5-Alarm 2-3 Samplers per day</t>
  </si>
  <si>
    <t xml:space="preserve">If every dollar came from 2-3 samplers - a way to picture the number.</t>
  </si>
  <si>
    <t xml:space="preserve">Base-scenario daily sales</t>
  </si>
  <si>
    <t xml:space="preserve">Cushion: base day above break-even</t>
  </si>
  <si>
    <t xml:space="preserve">Break-even including an investor return</t>
  </si>
  <si>
    <t xml:space="preserve">Target investor cash return (annual % of startup cost)</t>
  </si>
  <si>
    <t xml:space="preserve">Input. Investor split is undecided; 20%/yr = 5-year simple payback.</t>
  </si>
  <si>
    <t xml:space="preserve">Investor return per month</t>
  </si>
  <si>
    <t xml:space="preserve">Break-even sales per day incl. investor return</t>
  </si>
  <si>
    <t xml:space="preserve">Startup budget: raw shell (1st gen) vs former restaurant (2nd gen)</t>
  </si>
  <si>
    <t xml:space="preserve">Equipment priced new from online dealers (Oct 2026); expect 10-20% off list. A 2nd-generation space already has a hood, grease trap, plumbing and often a walk-in, so build-out drops sharply.</t>
  </si>
  <si>
    <t xml:space="preserve">Model / spec</t>
  </si>
  <si>
    <t xml:space="preserve">Qty</t>
  </si>
  <si>
    <t xml:space="preserve">Unit price</t>
  </si>
  <si>
    <t xml:space="preserve">1st gen (raw shell)</t>
  </si>
  <si>
    <t xml:space="preserve">2nd gen (former restaurant)</t>
  </si>
  <si>
    <t xml:space="preserve">Source / note</t>
  </si>
  <si>
    <t xml:space="preserve">Cooking</t>
  </si>
  <si>
    <t xml:space="preserve">Double-stack combi oven (2 ovens)</t>
  </si>
  <si>
    <t xml:space="preserve">Rational iCombi Pro 6-full, electric 208/240V 3-ph, 42" x 41"</t>
  </si>
  <si>
    <t xml:space="preserve">WebstaurantStore list $22,656 each (login price lower). 62A each - needs 3-phase service.</t>
  </si>
  <si>
    <t xml:space="preserve">Combi stacking kit</t>
  </si>
  <si>
    <t xml:space="preserve">Rational Combi-Duo 60.76.575</t>
  </si>
  <si>
    <t xml:space="preserve">CA$1,715 (Chef Supplies); US price not found - estimate.</t>
  </si>
  <si>
    <t xml:space="preserve">Cook &amp; hold cabinets (stacked)</t>
  </si>
  <si>
    <t xml:space="preserve">Alto-Shaam 1200-TH, 240 lb capacity, 208-240V 1-ph</t>
  </si>
  <si>
    <t xml:space="preserve">KaTom $12,532.74 each; stacked to save line space. 1000-TH/I-QS is $10,726 if smaller works.</t>
  </si>
  <si>
    <t xml:space="preserve">On-site smoker (daily fresh chicken)</t>
  </si>
  <si>
    <t xml:space="preserve">Cookshack FEC120 pellet smoker, 120V, 46.5" x 35", ~30 whole chickens/load</t>
  </si>
  <si>
    <t xml:space="preserve">KaTom $11,800; cULus listed. Goes under the Type I hood - confirm with the fire inspector.</t>
  </si>
  <si>
    <t xml:space="preserve">Tilting steam kettle, 20 gal</t>
  </si>
  <si>
    <t xml:space="preserve">Vulcan K20ETT tabletop, electric 208V 3-ph</t>
  </si>
  <si>
    <t xml:space="preserve">KaTom $20,014. Floor model K20ELT $29,481. Used Cleveland KEL20T $4,497 but 480V.</t>
  </si>
  <si>
    <t xml:space="preserve">Griddle + 2-burner range (no fryer)</t>
  </si>
  <si>
    <t xml:space="preserve">Vulcan 36S-2B24GT: 24" griddle, 2 burners, oven base, nat gas, 36" x 34"</t>
  </si>
  <si>
    <t xml:space="preserve">KaTom $9,132 (list $22,183).</t>
  </si>
  <si>
    <t xml:space="preserve">Cuban / sandwich press</t>
  </si>
  <si>
    <t xml:space="preserve">Waring WPG300 double, grooved cast iron, 240V</t>
  </si>
  <si>
    <t xml:space="preserve">KaTom $1,015 each; used $475 at City Food Equipment.</t>
  </si>
  <si>
    <t xml:space="preserve">Service line</t>
  </si>
  <si>
    <t xml:space="preserve">Carving station w/ 2 heat lamps</t>
  </si>
  <si>
    <t xml:space="preserve">Hatco DCSB400-3624-2, 36" x 24" board</t>
  </si>
  <si>
    <t xml:space="preserve">City Food Equipment $3,994.</t>
  </si>
  <si>
    <t xml:space="preserve">4-well hot food table + cold rail</t>
  </si>
  <si>
    <t xml:space="preserve">Electric 4-well + sneeze guard</t>
  </si>
  <si>
    <t xml:space="preserve">Estimate - no sourced price.</t>
  </si>
  <si>
    <t xml:space="preserve">To-go heated pickup shelf</t>
  </si>
  <si>
    <t xml:space="preserve">Heated shelf / pass-thru, 3 tier</t>
  </si>
  <si>
    <t xml:space="preserve">Refrigeration</t>
  </si>
  <si>
    <t xml:space="preserve">Walk-in cooler 8 x 10</t>
  </si>
  <si>
    <t xml:space="preserve">Imperial Brown IB810C</t>
  </si>
  <si>
    <t xml:space="preserve">KaTom $20,886.  2nd gen: Assumes the space has a usable walk-in.</t>
  </si>
  <si>
    <t xml:space="preserve">Walk-in install</t>
  </si>
  <si>
    <t xml:space="preserve">Set, refrigeration line, electrical</t>
  </si>
  <si>
    <t xml:space="preserve">Estimate.  2nd gen: Service / re-gas existing walk-in (estimate).</t>
  </si>
  <si>
    <t xml:space="preserve">Sandwich prep cooler</t>
  </si>
  <si>
    <t xml:space="preserve">48"-60" refrigerated prep table</t>
  </si>
  <si>
    <t xml:space="preserve">Top of $1,649-$3,384 range (The Restaurant Warehouse).</t>
  </si>
  <si>
    <t xml:space="preserve">Reach-in / drink cooler</t>
  </si>
  <si>
    <t xml:space="preserve">True T-49 2-section</t>
  </si>
  <si>
    <t xml:space="preserve">KaTom $7,491.</t>
  </si>
  <si>
    <t xml:space="preserve">Ice machine + bin</t>
  </si>
  <si>
    <t xml:space="preserve">Manitowoc IRP0500W, 500 lb/day, 365 lb bin</t>
  </si>
  <si>
    <t xml:space="preserve">HVAC Pro Sales $6,395 (W = water-cooled; confirm).</t>
  </si>
  <si>
    <t xml:space="preserve">Sinks &amp; prep</t>
  </si>
  <si>
    <t xml:space="preserve">3-compartment sink</t>
  </si>
  <si>
    <t xml:space="preserve">Regency 72.5" 16-ga</t>
  </si>
  <si>
    <t xml:space="preserve">WebstaurantStore listing (unconfirmed).  2nd gen: Usually in place.</t>
  </si>
  <si>
    <t xml:space="preserve">Hand sinks</t>
  </si>
  <si>
    <t xml:space="preserve">Advance Tabco 7-PS-EC-SP-X</t>
  </si>
  <si>
    <t xml:space="preserve">KaTom $361 each.  2nd gen: Usually in place.</t>
  </si>
  <si>
    <t xml:space="preserve">Prep sink + mop sink</t>
  </si>
  <si>
    <t xml:space="preserve">Estimate.  2nd gen: Usually in place.</t>
  </si>
  <si>
    <t xml:space="preserve">Stainless prep tables 30 x 60</t>
  </si>
  <si>
    <t xml:space="preserve">Steelton 16-ga</t>
  </si>
  <si>
    <t xml:space="preserve">WebstaurantStore $189 each.</t>
  </si>
  <si>
    <t xml:space="preserve">Shelving (dry storage + walk-in)</t>
  </si>
  <si>
    <t xml:space="preserve">NSF wire shelving units</t>
  </si>
  <si>
    <t xml:space="preserve">Ventilation</t>
  </si>
  <si>
    <t xml:space="preserve">Type I hood, 16 ft, installed</t>
  </si>
  <si>
    <t xml:space="preserve">Over smoker, griddle, kettle, combi</t>
  </si>
  <si>
    <t xml:space="preserve">$950-$1,200 per linear ft installed (Ambient Edge); national, not FL-specific.  2nd gen: Reuse existing hood and extend ~4 ft for the smoker, re-balance (estimate).</t>
  </si>
  <si>
    <t xml:space="preserve">Fire suppression</t>
  </si>
  <si>
    <t xml:space="preserve">ANSUL R-102, 16 ft hood (extra nozzles for smoker)</t>
  </si>
  <si>
    <t xml:space="preserve">ThePricer ~$10,419 for 10 ft hardware + install; +~$1,600 estimate for 16 ft. Before permits.  2nd gen: Recertify / re-nozzle existing system (estimate).</t>
  </si>
  <si>
    <t xml:space="preserve">Front of house</t>
  </si>
  <si>
    <t xml:space="preserve">Square POS register + kiosk + 2 KDS</t>
  </si>
  <si>
    <t xml:space="preserve">Register $1,799, kiosk ~$1,500, KDS $900 x2</t>
  </si>
  <si>
    <t xml:space="preserve">UpMenu May 2026 Square pricing article; kiosk estimate.</t>
  </si>
  <si>
    <t xml:space="preserve">Tables, chairs, window bar, stools</t>
  </si>
  <si>
    <t xml:space="preserve">6 four-tops, 24 chairs, bar, 8 stools</t>
  </si>
  <si>
    <t xml:space="preserve">5-Alarm effect: beacon, siren, controller, brass bell</t>
  </si>
  <si>
    <t xml:space="preserve">Feniex light bar + controller + siren + bell</t>
  </si>
  <si>
    <t xml:space="preserve">Feniex: light bar up to $1,899, controller up to $1,099, siren up to $299; bell estimate $250.</t>
  </si>
  <si>
    <t xml:space="preserve">Signage, logo sign, fire pole, decor</t>
  </si>
  <si>
    <t xml:space="preserve">Incl. helmet shelf + bunker gear display</t>
  </si>
  <si>
    <t xml:space="preserve">Estimate; used turnout gear and helmets run ~$100-$400 per piece.</t>
  </si>
  <si>
    <t xml:space="preserve">Smallwares</t>
  </si>
  <si>
    <t xml:space="preserve">Smallwares (pans, knives, boards, cambros)</t>
  </si>
  <si>
    <t xml:space="preserve">Estimate - no sourced figure.</t>
  </si>
  <si>
    <t xml:space="preserve">Equipment subtotal</t>
  </si>
  <si>
    <t xml:space="preserve">Build-out, soft costs and pre-opening</t>
  </si>
  <si>
    <t xml:space="preserve">Build-out</t>
  </si>
  <si>
    <t xml:space="preserve">Tenant improvements (walls, floors, plumbing, electrical, restrooms)</t>
  </si>
  <si>
    <t xml:space="preserve">$/sq ft x 1,500</t>
  </si>
  <si>
    <t xml:space="preserve">1st gen: raw shell restaurant build-outs commonly run $150-$300/sf (estimate). 2nd gen: refresh finishes, minor plumbing/electrical at ~$60/sf (estimate). A landlord TI allowance reduces either.</t>
  </si>
  <si>
    <t xml:space="preserve">3-phase electrical service upgrade</t>
  </si>
  <si>
    <t xml:space="preserve">1st gen: included in TI. 2nd gen: combi + kettle need 3-phase; budget an upgrade if the space lacks it (estimate).</t>
  </si>
  <si>
    <t xml:space="preserve">Grease interceptor</t>
  </si>
  <si>
    <t xml:space="preserve">1st gen: new in-ground interceptor (estimate). 2nd gen: existing - pump and inspect.</t>
  </si>
  <si>
    <t xml:space="preserve">Soft costs</t>
  </si>
  <si>
    <t xml:space="preserve">Architect, engineering, permits, impact fees</t>
  </si>
  <si>
    <t xml:space="preserve">Estimate. 2nd gen is often a change-of-use or alteration permit only.</t>
  </si>
  <si>
    <t xml:space="preserve">Pre-opening</t>
  </si>
  <si>
    <t xml:space="preserve">Security deposit + first month (rent + NNN)</t>
  </si>
  <si>
    <t xml:space="preserve">Formula: 2 x (rent + NNN).</t>
  </si>
  <si>
    <t xml:space="preserve">Pre-opening labor (training, 2 weeks)</t>
  </si>
  <si>
    <t xml:space="preserve">Opening inventory (non-meat) + packaging</t>
  </si>
  <si>
    <t xml:space="preserve">Grand opening marketing</t>
  </si>
  <si>
    <t xml:space="preserve">Working capital reserve (3 months fixed costs)</t>
  </si>
  <si>
    <t xml:space="preserve">Formula: 3 x fixed monthly costs from Break-Even.</t>
  </si>
  <si>
    <t xml:space="preserve">Build-out and pre-opening subtotal</t>
  </si>
  <si>
    <t xml:space="preserve">Contingency</t>
  </si>
  <si>
    <t xml:space="preserve">TOTAL STARTUP COST</t>
  </si>
  <si>
    <t xml:space="preserve">2nd gen saves</t>
  </si>
  <si>
    <t xml:space="preserve">Startup cost used in the plan (per Assumptions: 1 = 1st gen, 2 = 2nd gen)</t>
  </si>
  <si>
    <t xml:space="preserve">Daily prep list (par levels)</t>
  </si>
  <si>
    <t xml:space="preserve">Forecast use = menu-item quantities x forecast units, plus the prep buffer. Pick the scenario column that matches the day.</t>
  </si>
  <si>
    <t xml:space="preserve">Conservative day</t>
  </si>
  <si>
    <t xml:space="preserve">Base day</t>
  </si>
  <si>
    <t xml:space="preserve">Strong day</t>
  </si>
  <si>
    <t xml:space="preserve">Base: prep as</t>
  </si>
  <si>
    <t xml:space="preserve">How / when</t>
  </si>
  <si>
    <t xml:space="preserve">Prep unit</t>
  </si>
  <si>
    <t xml:space="preserve">Pull vac-packs from walk-in 8:30; combi reheat to 165F, hold in Alto-Shaam. Slice to order only.</t>
  </si>
  <si>
    <t xml:space="preserve">packers</t>
  </si>
  <si>
    <t xml:space="preserve">Reheat in combi with jus, hold in Alto-Shaam; pull for Cubans and samplers.</t>
  </si>
  <si>
    <t xml:space="preserve">lb cooked</t>
  </si>
  <si>
    <t xml:space="preserve">Pre-orders only: reheat and glaze to order.</t>
  </si>
  <si>
    <t xml:space="preserve">Reheat racks in combi, hold wrapped; cut to bones at cutting station.</t>
  </si>
  <si>
    <t xml:space="preserve">racks</t>
  </si>
  <si>
    <t xml:space="preserve">Smoked fresh daily in the store smoker: load 7:30, ready ~10:30, into Alto-Shaam.</t>
  </si>
  <si>
    <t xml:space="preserve">pieces</t>
  </si>
  <si>
    <t xml:space="preserve">Reheat in combi, hold.</t>
  </si>
  <si>
    <t xml:space="preserve">Kettle, 9:00. Hold in hot well; second batch at 12:00 if Strong.</t>
  </si>
  <si>
    <t xml:space="preserve">batches (2 gal)</t>
  </si>
  <si>
    <t xml:space="preserve">Kettle after mac. Hold in hot well.</t>
  </si>
  <si>
    <t xml:space="preserve">batches</t>
  </si>
  <si>
    <t xml:space="preserve">Mix fresh daily; cold rail.</t>
  </si>
  <si>
    <t xml:space="preserve">Day before; cups in reach-in.</t>
  </si>
  <si>
    <t xml:space="preserve">batches (24)</t>
  </si>
  <si>
    <t xml:space="preserve">Toast to order on griddle.</t>
  </si>
  <si>
    <t xml:space="preserve">loaves (20 sl)</t>
  </si>
  <si>
    <t xml:space="preserve">Portion into 1 oz cups.</t>
  </si>
  <si>
    <t xml:space="preserve">2x per week.</t>
  </si>
  <si>
    <t xml:space="preserve">Portion 2 oz cups; 3 per sampler.</t>
  </si>
  <si>
    <t xml:space="preserve">Bakery delivery daily 8:00.</t>
  </si>
  <si>
    <t xml:space="preserve">loaves</t>
  </si>
  <si>
    <t xml:space="preserve">Fountain: check syrup bags and CO2 at open.</t>
  </si>
  <si>
    <t xml:space="preserve">cups</t>
  </si>
  <si>
    <t xml:space="preserve">Bake in combi 8:30; cut 40 per pan. Bake a second pan for catering days.</t>
  </si>
  <si>
    <t xml:space="preserve">sheet pans (40 pc)</t>
  </si>
  <si>
    <t xml:space="preserve">Whip butter, rendered brisket tallow and honey; portion 0.5 oz cups.</t>
  </si>
  <si>
    <t xml:space="preserve">batches (32 oz)</t>
  </si>
  <si>
    <t xml:space="preserve">Daily timeline (lunch 11:00 - 2:30)</t>
  </si>
  <si>
    <t xml:space="preserve">8:00</t>
  </si>
  <si>
    <t xml:space="preserve">Bakery drop (Cuban bread). Check walk-in temps, log.</t>
  </si>
  <si>
    <t xml:space="preserve">8:30</t>
  </si>
  <si>
    <t xml:space="preserve">Combi: reheat brisket, pork, ribs, sausage. Kettle: mac.</t>
  </si>
  <si>
    <t xml:space="preserve">9:30</t>
  </si>
  <si>
    <t xml:space="preserve">Kettle: beans. Slaw mixed. Sauces and pickles portioned.</t>
  </si>
  <si>
    <t xml:space="preserve">7:00</t>
  </si>
  <si>
    <t xml:space="preserve">Opener loads the store smoker with seasoned chicken leg quarters (daily fresh smoke).</t>
  </si>
  <si>
    <t xml:space="preserve">10:30</t>
  </si>
  <si>
    <t xml:space="preserve">Chicken off the smoker into the Alto-Shaam. Load hot wells.</t>
  </si>
  <si>
    <t xml:space="preserve">Pre-order bags staged on to-go shelf by pickup time. Line check, temps logged.</t>
  </si>
  <si>
    <t xml:space="preserve">11:00</t>
  </si>
  <si>
    <t xml:space="preserve">Open. Re-fire mac/beans at 12:00 on Base/Strong days.</t>
  </si>
  <si>
    <t xml:space="preserve">2:30</t>
  </si>
  <si>
    <t xml:space="preserve">Close the lunch line. Leftover meats chilled, vac-sealed, dated. Lunch crew cleans down and leaves by 3:30.</t>
  </si>
  <si>
    <t xml:space="preserve">2:30-7:00</t>
  </si>
  <si>
    <t xml:space="preserve">EVENING CATERING PICKUPS ONLY - one crew member. Party Samplers built from the hot hold, staged on the to-go shelf by pickup time. No walk-in service.</t>
  </si>
  <si>
    <t xml:space="preserve">Last catering pickup. Close, count, send tomorrow's order to the commissary.</t>
  </si>
  <si>
    <t xml:space="preserve">Order guide - weekly meat order from the commissary</t>
  </si>
  <si>
    <t xml:space="preserve">Store orders meats only from the commissary. Weekly need = daily par x days open. Split into two deliveries.</t>
  </si>
  <si>
    <t xml:space="preserve">Weekly need (Base)</t>
  </si>
  <si>
    <t xml:space="preserve">Weekly delivery (Tuesday)</t>
  </si>
  <si>
    <t xml:space="preserve">Emergency run (as needed)</t>
  </si>
  <si>
    <t xml:space="preserve">Transfer price</t>
  </si>
  <si>
    <t xml:space="preserve">Weekly cost to store</t>
  </si>
  <si>
    <t xml:space="preserve">Commissary raw lb to buy</t>
  </si>
  <si>
    <t xml:space="preserve">Raw cases (approx)</t>
  </si>
  <si>
    <t xml:space="preserve">as needed</t>
  </si>
  <si>
    <t xml:space="preserve">case ~60 lb (4 Prime packers)</t>
  </si>
  <si>
    <t xml:space="preserve">case ~70 lb (8 butts)</t>
  </si>
  <si>
    <t xml:space="preserve">case ~60 lb</t>
  </si>
  <si>
    <t xml:space="preserve">case ~35 lb (10 racks)</t>
  </si>
  <si>
    <t xml:space="preserve">Chicken leg quarters</t>
  </si>
  <si>
    <t xml:space="preserve">10 lb case</t>
  </si>
  <si>
    <t xml:space="preserve">Weekly meat bill to store</t>
  </si>
  <si>
    <t xml:space="preserve">One delivery a week (Tuesday) covers the whole week, vac-packed and dated; emergency runs only when the store runs short. Chicken leg quarters ship RAW on the weekly delivery and are smoked fresh every day in the store smoker.</t>
  </si>
  <si>
    <t xml:space="preserve">Shopping guide - what the store buys each week (everything except meat)</t>
  </si>
  <si>
    <t xml:space="preserve">Batches per week = weekly use / batch yield, rounded up. Ingredient quantities = batches x recipe. Base scenario.</t>
  </si>
  <si>
    <t xml:space="preserve">Batches / wk</t>
  </si>
  <si>
    <t xml:space="preserve">Qty / wk</t>
  </si>
  <si>
    <t xml:space="preserve">Est. cost / wk</t>
  </si>
  <si>
    <t xml:space="preserve">Supplier</t>
  </si>
  <si>
    <t xml:space="preserve">Beef tallow smoked mac &amp; cheese</t>
  </si>
  <si>
    <t xml:space="preserve">Cheney Bros / US Foods</t>
  </si>
  <si>
    <t xml:space="preserve">Cowboy beans (brisket)</t>
  </si>
  <si>
    <t xml:space="preserve">In-house</t>
  </si>
  <si>
    <t xml:space="preserve">From-scratch banana pudding</t>
  </si>
  <si>
    <t xml:space="preserve">Pickled red onions</t>
  </si>
  <si>
    <t xml:space="preserve">House BBQ sauce (Sweet Eddie / Carolina Gold / Spicy avg)</t>
  </si>
  <si>
    <t xml:space="preserve">Jerk mayo-mustard-relish aioli (Smokin' Cuban)</t>
  </si>
  <si>
    <t xml:space="preserve">Guava BBQ sauce</t>
  </si>
  <si>
    <t xml:space="preserve">Cornbread (sheet pan)</t>
  </si>
  <si>
    <t xml:space="preserve">Bread, deli, pickles, drinks</t>
  </si>
  <si>
    <t xml:space="preserve">20-slice Texas toast</t>
  </si>
  <si>
    <t xml:space="preserve">Bakery / Cheney</t>
  </si>
  <si>
    <t xml:space="preserve">Cuban bread, daily</t>
  </si>
  <si>
    <t xml:space="preserve">Tampa Cuban bakery</t>
  </si>
  <si>
    <t xml:space="preserve">4 x 5 lb sliced</t>
  </si>
  <si>
    <t xml:space="preserve">gal jars</t>
  </si>
  <si>
    <t xml:space="preserve">Syrup bag-in-box + 24 oz cups/lids/straws</t>
  </si>
  <si>
    <t xml:space="preserve">Pepsi fountain program</t>
  </si>
  <si>
    <t xml:space="preserve">Packaging (units per week)</t>
  </si>
  <si>
    <t xml:space="preserve">Sampler 2-3 kits</t>
  </si>
  <si>
    <t xml:space="preserve">Restaurant Depot / WebstaurantStore</t>
  </si>
  <si>
    <t xml:space="preserve">Sampler 5-6 kits</t>
  </si>
  <si>
    <t xml:space="preserve">Cuban wraps + baskets</t>
  </si>
  <si>
    <t xml:space="preserve">6 oz cups + lids</t>
  </si>
  <si>
    <t xml:space="preserve">Pudding cups</t>
  </si>
  <si>
    <t xml:space="preserve">Pre-order pans + bags</t>
  </si>
  <si>
    <t xml:space="preserve">Party Sampler 10 kits</t>
  </si>
  <si>
    <t xml:space="preserve">Party Sampler 20 kits</t>
  </si>
  <si>
    <t xml:space="preserve">Party Sampler 30 kits</t>
  </si>
  <si>
    <t xml:space="preserve">Party Sampler 50 kits</t>
  </si>
  <si>
    <t xml:space="preserve">Weekly store purchases (non-meat), Base</t>
  </si>
  <si>
    <t xml:space="preserve">Order rhythm: broadline order Thursday for Friday delivery (matches the commissary cadence); bakery daily; Restaurant Depot run Monday for packaging and drinks.</t>
  </si>
  <si>
    <t xml:space="preserve">Commissary smoke schedule for the store</t>
  </si>
  <si>
    <t xml:space="preserve">Store open Tue-Sat lunch. Commissary smokes Sun-Tue (Anthony's cadence), chills and vac-packs, delivers twice a week. Chicken is the only thing smoked fresh.</t>
  </si>
  <si>
    <t xml:space="preserve">Day</t>
  </si>
  <si>
    <t xml:space="preserve">Commissary</t>
  </si>
  <si>
    <t xml:space="preserve">Store</t>
  </si>
  <si>
    <t xml:space="preserve">Brisket packers to smoke</t>
  </si>
  <si>
    <t xml:space="preserve">Pork butts to smoke</t>
  </si>
  <si>
    <t xml:space="preserve">Notes</t>
  </si>
  <si>
    <t xml:space="preserve">Thursday</t>
  </si>
  <si>
    <t xml:space="preserve">Broadline + meat orders placed (Cheney / US Foods / direct purveyor).</t>
  </si>
  <si>
    <t xml:space="preserve">Open. Send next week's forecast to commissary by 4 pm.</t>
  </si>
  <si>
    <t xml:space="preserve">Raw meat delivered Friday.</t>
  </si>
  <si>
    <t xml:space="preserve">Friday</t>
  </si>
  <si>
    <t xml:space="preserve">Raw meat delivery; trim and rub briskets and butts.</t>
  </si>
  <si>
    <t xml:space="preserve">Open.</t>
  </si>
  <si>
    <t xml:space="preserve">Saturday</t>
  </si>
  <si>
    <t xml:space="preserve">Catering as booked.</t>
  </si>
  <si>
    <t xml:space="preserve">Sunday</t>
  </si>
  <si>
    <t xml:space="preserve">SMOKE: all briskets for the week (overnight).</t>
  </si>
  <si>
    <t xml:space="preserve">Closed.</t>
  </si>
  <si>
    <t xml:space="preserve">Brisket rests, sliced-ready, chilled &lt; 41F within 6 hrs, vac-packed.</t>
  </si>
  <si>
    <t xml:space="preserve">Monday</t>
  </si>
  <si>
    <t xml:space="preserve">SMOKE: pork butts + pork belly. Chill + vac-pack brisket. Pack raw chicken for the store.</t>
  </si>
  <si>
    <t xml:space="preserve">Closed. Prep sides for Tuesday.</t>
  </si>
  <si>
    <t xml:space="preserve">Tuesday</t>
  </si>
  <si>
    <t xml:space="preserve">SMOKE: ribs. 8:00 WEEKLY DELIVERY to the store (all meats for Tue-Sat).</t>
  </si>
  <si>
    <t xml:space="preserve">Open. Receive weekly delivery before 9:00, check temps, date and stock walk-in.</t>
  </si>
  <si>
    <t xml:space="preserve">Order Guide col D. Emergency run only if the store runs short.</t>
  </si>
  <si>
    <t xml:space="preserve">Wednesday</t>
  </si>
  <si>
    <t xml:space="preserve">Catering midweek.</t>
  </si>
  <si>
    <t xml:space="preserve">Smoking: 2 smokers x 2 smokes a day on Sun/Mon/Tue at ~$15 of wood per smoke (Anthony). Commissary labor for this store ~20 hrs/week. Both feed the Commissary P&amp;L.</t>
  </si>
  <si>
    <t xml:space="preserve">Chicken leg quarters: shipped raw on the weekly delivery and smoked fresh every service day in the store's Cookshack FEC120 (load 7:30, ready ~10:30). The store smoker can also run ribs or extra chicken on catering days.</t>
  </si>
  <si>
    <t xml:space="preserve">Emergency smokes only outside Sun-Tue (Anthony's rule). Prep extra into the next week: vac-packed, chilled brisket and pork hold safely for the week when kept at 41F or below and dated.</t>
  </si>
  <si>
    <t xml:space="preserve">Brisket packers and pork butts above cover the store's lunch, pre-orders and evening catering pickups (Base scenario). Catering delivered from the warehouse is on top of this.</t>
  </si>
  <si>
    <t xml:space="preserve">Meat buying: what you pay today vs buying direct</t>
  </si>
  <si>
    <t xml:space="preserve">Your current prices come from the Station House order guide (Centerpoint, Cheney). USDA wholesale is what packers sell at by the truckload - nobody your size buys at that price, but it shows how much room there is.</t>
  </si>
  <si>
    <t xml:space="preserve">Supplier today</t>
  </si>
  <si>
    <t xml:space="preserve">You pay $/lb</t>
  </si>
  <si>
    <t xml:space="preserve">USDA wholesale $/lb</t>
  </si>
  <si>
    <t xml:space="preserve">Your price vs USDA</t>
  </si>
  <si>
    <t xml:space="preserve">Direct price $/lb (base case)</t>
  </si>
  <si>
    <t xml:space="preserve">Raw lb / week (store)</t>
  </si>
  <si>
    <t xml:space="preserve">Annual cost today</t>
  </si>
  <si>
    <t xml:space="preserve">Annual savings direct</t>
  </si>
  <si>
    <t xml:space="preserve">Savings %</t>
  </si>
  <si>
    <t xml:space="preserve">Brisket (Prime packer)</t>
  </si>
  <si>
    <t xml:space="preserve">US Foods</t>
  </si>
  <si>
    <t xml:space="preserve">Pork butt</t>
  </si>
  <si>
    <t xml:space="preserve">Centerpoint</t>
  </si>
  <si>
    <t xml:space="preserve">Pork belly</t>
  </si>
  <si>
    <t xml:space="preserve">Cheney</t>
  </si>
  <si>
    <t xml:space="preserve">Total (store only)</t>
  </si>
  <si>
    <t xml:space="preserve">Scale it to the whole business (store + catering)</t>
  </si>
  <si>
    <t xml:space="preserve">Whole-business meat volume as a multiple of the store</t>
  </si>
  <si>
    <t xml:space="preserve">Input: if catering buys 2x what the store does, enter 3.</t>
  </si>
  <si>
    <t xml:space="preserve">Annual savings, whole business (base case)</t>
  </si>
  <si>
    <t xml:space="preserve">Sensitivity: annual savings at different direct-buying discounts</t>
  </si>
  <si>
    <t xml:space="preserve">Discount vs today</t>
  </si>
  <si>
    <t xml:space="preserve">Store only</t>
  </si>
  <si>
    <t xml:space="preserve">Whole business</t>
  </si>
  <si>
    <t xml:space="preserve">Brisket: US Foods Prime at $5.72/lb is about 16% over the USDA Prime packer benchmark ($4.92) - a fair price for Prime. Switching from Centerpoint ($7.82, Choice/Prime per the old order guide) to US Foods already saves roughly $2/lb. Pork belly is the biggest remaining gap until the US Foods price is entered.</t>
  </si>
  <si>
    <t xml:space="preserve">Centerpoint is already a meat purveyor, not a broadline distributor. Going "more direct" means a packer program (e.g. buying brisket by the combo or pallet through a packer rep or buying group), cash-and-carry on spot deals, or bidding Centerpoint against a second purveyor.</t>
  </si>
  <si>
    <t xml:space="preserve">Trade-offs of going direct: case/pallet minimums, fixed delivery days, shorter payment terms, and the commissary walk-in must hold the volume. Restaurant Depot has no minimums but you haul it yourself.</t>
  </si>
  <si>
    <t xml:space="preserve">Leverage: in a June 2026 operator survey, 70% got a price cut or credit just by showing a competing quote. Get one written quote and take it to Centerpoint and Cheney.</t>
  </si>
  <si>
    <t xml:space="preserve">The commissary keeps these savings: the store is charged cost + 25%, so cheaper raw meat lowers both the commissary's cost and the store's plate cost.</t>
  </si>
  <si>
    <t xml:space="preserve">Commissary P&amp;L - what the commissary really clears from one store</t>
  </si>
  <si>
    <t xml:space="preserve">Base week. Raw meat at your supplier prices, plus the commissary's own labor, wood, bags and delivery. The process cost per raw pound feeds the transfer price, so the store is charged full cost + 25%.</t>
  </si>
  <si>
    <t xml:space="preserve">Per week</t>
  </si>
  <si>
    <t xml:space="preserve">Per month</t>
  </si>
  <si>
    <t xml:space="preserve">How it is calculated</t>
  </si>
  <si>
    <t xml:space="preserve">Volume</t>
  </si>
  <si>
    <t xml:space="preserve">Raw meat processed for this store (lb)</t>
  </si>
  <si>
    <t xml:space="preserve">Order Guide, Base scenario incl. prep buffer and evening catering</t>
  </si>
  <si>
    <t xml:space="preserve">Meat sold to the store (transfer price)</t>
  </si>
  <si>
    <t xml:space="preserve">Costs</t>
  </si>
  <si>
    <t xml:space="preserve">Raw meat (US Foods Prime brisket, Centerpoint, Cheney)</t>
  </si>
  <si>
    <t xml:space="preserve">Raw lb x what you pay per lb (includes raw chicken sold to the store)</t>
  </si>
  <si>
    <t xml:space="preserve">Commissary labor</t>
  </si>
  <si>
    <t xml:space="preserve">20 hrs/wk x rate + payroll taxes</t>
  </si>
  <si>
    <t xml:space="preserve">Wood</t>
  </si>
  <si>
    <t xml:space="preserve">$15 a smoke x 4 smokes a day x 3 smoke days</t>
  </si>
  <si>
    <t xml:space="preserve">Vac bags, foil, labels</t>
  </si>
  <si>
    <t xml:space="preserve">Delivery (weekly + emergency runs)</t>
  </si>
  <si>
    <t xml:space="preserve">Share of warehouse rent</t>
  </si>
  <si>
    <t xml:space="preserve">0% by default - see Assumptions</t>
  </si>
  <si>
    <t xml:space="preserve">Process cost (labor + wood + bags + delivery + rent share)</t>
  </si>
  <si>
    <t xml:space="preserve">Raw lb the commissary smokes (all meat except chicken)</t>
  </si>
  <si>
    <t xml:space="preserve">Process cost per raw lb smoked</t>
  </si>
  <si>
    <t xml:space="preserve">Feeds Assumptions -&gt; transfer price. Chicken ships raw and is smoked at the store.</t>
  </si>
  <si>
    <t xml:space="preserve">Total commissary cost</t>
  </si>
  <si>
    <t xml:space="preserve">Commissary profit from this store</t>
  </si>
  <si>
    <t xml:space="preserve">Should equal the 25% markup on full cost</t>
  </si>
  <si>
    <t xml:space="preserve">Commissary margin on sales</t>
  </si>
  <si>
    <t xml:space="preserve">Commissary profit per labor hour</t>
  </si>
  <si>
    <t xml:space="preserve">What each commissary hour spent on this store earns</t>
  </si>
  <si>
    <t xml:space="preserve">The commissary runs at cost + 25% on FULL cost (raw meat + labor + wood + bags + delivery), so its profit is real, not just a paper markup.</t>
  </si>
  <si>
    <t xml:space="preserve">With rent share at 0%, this is the extra profit from running store volume through a warehouse you already pay for. Set a rent share on Assumptions to see a fully loaded number.</t>
  </si>
  <si>
    <t xml:space="preserve">Monthly figures here use the Order Guide (with the 10% prep buffer), so they run slightly above the commissary line on Sales &amp; P&amp;L.</t>
  </si>
  <si>
    <t xml:space="preserve">Who makes money - investor, Station House and the commissary</t>
  </si>
  <si>
    <t xml:space="preserve">One investor funds one store. Station House runs it, supplies the meat through the commissary at cost + 25%, takes a management fee and owns a share. All per year.</t>
  </si>
  <si>
    <t xml:space="preserve">Per year</t>
  </si>
  <si>
    <t xml:space="preserve">The store</t>
  </si>
  <si>
    <t xml:space="preserve">Store sales (lunch + pre-orders + evening catering)</t>
  </si>
  <si>
    <t xml:space="preserve">Store profit before fees (EBITDA)</t>
  </si>
  <si>
    <t xml:space="preserve">Sales &amp; P&amp;L</t>
  </si>
  <si>
    <t xml:space="preserve">Station House management / brand fee</t>
  </si>
  <si>
    <t xml:space="preserve">Sales x fee % (Assumptions)</t>
  </si>
  <si>
    <t xml:space="preserve">Store profit to split</t>
  </si>
  <si>
    <t xml:space="preserve">Investor</t>
  </si>
  <si>
    <t xml:space="preserve">Cash the investor puts in</t>
  </si>
  <si>
    <t xml:space="preserve">Startup cost used in the plan x investor share funded</t>
  </si>
  <si>
    <t xml:space="preserve">Profit x (1 - Station House ownership)</t>
  </si>
  <si>
    <t xml:space="preserve">Investor payback (years)</t>
  </si>
  <si>
    <t xml:space="preserve">Station House (Anthony)</t>
  </si>
  <si>
    <t xml:space="preserve">Management / brand fee</t>
  </si>
  <si>
    <t xml:space="preserve">Ownership share of store profit</t>
  </si>
  <si>
    <t xml:space="preserve">Profit x Station House ownership %</t>
  </si>
  <si>
    <t xml:space="preserve">Commissary profit: 25% markup on every pound of meat the store buys</t>
  </si>
  <si>
    <t xml:space="preserve">Includes meat in evening catering Party Samplers</t>
  </si>
  <si>
    <t xml:space="preserve">Total to Station House from one store</t>
  </si>
  <si>
    <t xml:space="preserve">Station House cash in</t>
  </si>
  <si>
    <t xml:space="preserve">Zero when the investor funds 100%</t>
  </si>
  <si>
    <t xml:space="preserve">Split of the money the store generates</t>
  </si>
  <si>
    <t xml:space="preserve">Store profit + commissary markup</t>
  </si>
  <si>
    <t xml:space="preserve">Investor share</t>
  </si>
  <si>
    <t xml:space="preserve">Station House share</t>
  </si>
  <si>
    <t xml:space="preserve">Scaling: each additional store run the same way adds to Station House</t>
  </si>
  <si>
    <t xml:space="preserve">2 stores</t>
  </si>
  <si>
    <t xml:space="preserve">3 stores</t>
  </si>
  <si>
    <t xml:space="preserve">5 stores</t>
  </si>
  <si>
    <t xml:space="preserve">Ownership %, management fee % and how much the investor funds are inputs on Assumptions (yellow) - the deal is not set. Common operating-partner structures: 20-50% sweat equity for the operator, a 3-6% management or license fee, and the investor recouping capital first.</t>
  </si>
  <si>
    <t xml:space="preserve">Evening catering pickups (until 7 pm) are counted inside the store. The commissary earns its 25% on that meat too, and catering delivered from the warehouse stays 100% Station House.</t>
  </si>
  <si>
    <t xml:space="preserve">Not tax or legal advice - have your CPA and attorney structure the operating agreement.</t>
  </si>
  <si>
    <t xml:space="preserve">Sources</t>
  </si>
  <si>
    <t xml:space="preserve">What</t>
  </si>
  <si>
    <t xml:space="preserve">Source</t>
  </si>
  <si>
    <t xml:space="preserve">Seminole Heights sales mix, avg ticket, daily sales</t>
  </si>
  <si>
    <t xml:space="preserve">Square orders API, location L413E6TD6D669, completed orders Sep 18 - Oct 27, 2026 (1,000 orders)</t>
  </si>
  <si>
    <t xml:space="preserve">Ingredient, meat, drink and packaging prices</t>
  </si>
  <si>
    <t xml:space="preserve">Station House Order Guide (Centerpoint, Cheney, US Foods, La Segunda case prices)</t>
  </si>
  <si>
    <t xml:space="preserve">Menu prices</t>
  </si>
  <si>
    <t xml:space="preserve">Square catalog (Walk-In Samplers, Brisket Cuban, Smokin' Cuban) and Station House Commerce catalog</t>
  </si>
  <si>
    <t xml:space="preserve">USDA brisket Choice (IMPS 120)</t>
  </si>
  <si>
    <t xml:space="preserve">https://www.ams.usda.gov/mnreports/ams_2453.pdf (LM_XB403, Oct 26 2026)</t>
  </si>
  <si>
    <t xml:space="preserve">USDA Prime brisket</t>
  </si>
  <si>
    <t xml:space="preserve">https://www.ams.usda.gov/mnreports/ams_2460.pdf (LM_XB456, Oct 19 2026)</t>
  </si>
  <si>
    <t xml:space="preserve">USDA pork cutout (butt, spare ribs, belly)</t>
  </si>
  <si>
    <t xml:space="preserve">https://www.indexbox.io/blog/usda-morning-report-shows-mixed-pork-cutout-values/ (USDA morning report Oct 13 2026)</t>
  </si>
  <si>
    <t xml:space="preserve">USDA chicken leg quarters</t>
  </si>
  <si>
    <t xml:space="preserve">https://www.ams.usda.gov/mnreports/ams_3646.pdf (Oct 23 2026)</t>
  </si>
  <si>
    <t xml:space="preserve">Brisket price spike, Sept 2026</t>
  </si>
  <si>
    <t xml:space="preserve">https://www.ky3.com/2026/09/29/brisket-prices-more-than-double-week-squeezing-bbq-restaurants-home-cooks/</t>
  </si>
  <si>
    <t xml:space="preserve">Sysco FY2026 gross margin 18.5%</t>
  </si>
  <si>
    <t xml:space="preserve">https://www.sec.gov/Archives/edgar/data/0000096021/000009602126000026/syy2026q4pressrelease.htm</t>
  </si>
  <si>
    <t xml:space="preserve">Restaurant Depot ~20% below broadline; 70% got price cuts with competing quotes</t>
  </si>
  <si>
    <t xml:space="preserve">https://assets.nationbuilder.com/irc/pages/5026/attachments/original/1783663394/IRC_Sysco_Survey_June_2026.pdf</t>
  </si>
  <si>
    <t xml:space="preserve">Rational iCombi Pro 6-full electric</t>
  </si>
  <si>
    <t xml:space="preserve">https://www.webstaurantstore.com/rational-icombi-pro-6-pan-full-size-electric-combi-oven-208-240v-3-phase/645ICP62I.html</t>
  </si>
  <si>
    <t xml:space="preserve">Rational Combi-Duo stacking kit</t>
  </si>
  <si>
    <t xml:space="preserve">https://www.chefsupplies.ca/products/rational-combi-duo-universal-stacking-kit-icombi-6-full-size-electric-or-gas-on-model-62-or-102-electric-60-76-575</t>
  </si>
  <si>
    <t xml:space="preserve">Alto-Shaam 1200-TH</t>
  </si>
  <si>
    <t xml:space="preserve">https://www.katom.com/139-1200TH.html</t>
  </si>
  <si>
    <t xml:space="preserve">Vulcan K20ETT kettle</t>
  </si>
  <si>
    <t xml:space="preserve">https://www.katom.com/207-K20ETT2083.html</t>
  </si>
  <si>
    <t xml:space="preserve">Vulcan 36S-2B24GT griddle/range</t>
  </si>
  <si>
    <t xml:space="preserve">https://www.katom.com/207-36S2B24GTNG.html</t>
  </si>
  <si>
    <t xml:space="preserve">Waring WPG300 press</t>
  </si>
  <si>
    <t xml:space="preserve">https://www.katom.com/141-WPG300.html</t>
  </si>
  <si>
    <t xml:space="preserve">Hatco carving station</t>
  </si>
  <si>
    <t xml:space="preserve">https://www.cityfoodequipment.com/products/hatco-dcsb400-3624-2-carving-station-w-2-heat-lamps-36-x-24-cutting-board</t>
  </si>
  <si>
    <t xml:space="preserve">Imperial Brown 8x10 walk-in</t>
  </si>
  <si>
    <t xml:space="preserve">https://www.katom.com/157-IB810C.html</t>
  </si>
  <si>
    <t xml:space="preserve">True T-49 reach-in</t>
  </si>
  <si>
    <t xml:space="preserve">https://www.katom.com/598-T492G2.html</t>
  </si>
  <si>
    <t xml:space="preserve">Manitowoc ice machine</t>
  </si>
  <si>
    <t xml:space="preserve">https://hvacprosales.com/manitowoc-irp0500w-161-d400-complete-ice-machine-package/</t>
  </si>
  <si>
    <t xml:space="preserve">Hand sink</t>
  </si>
  <si>
    <t xml:space="preserve">https://www.katom.com/009-7PSECSP1X.html</t>
  </si>
  <si>
    <t xml:space="preserve">Hood cost per foot</t>
  </si>
  <si>
    <t xml:space="preserve">https://www.ambientedge.com/faqs/how-much-does-it-cost-to-install-a-kitchen-hood-in-a-restaurant/</t>
  </si>
  <si>
    <t xml:space="preserve">ANSUL fire suppression</t>
  </si>
  <si>
    <t xml:space="preserve">https://www.thepricer.org/?p=7324</t>
  </si>
  <si>
    <t xml:space="preserve">Square hardware pricing</t>
  </si>
  <si>
    <t xml:space="preserve">https://www.upmenu.com/blog/square-pricing</t>
  </si>
  <si>
    <t xml:space="preserve">Feniex beacon / siren parts</t>
  </si>
  <si>
    <t xml:space="preserve">https://www.feniex.com/preset-packages/FCP-032525</t>
  </si>
  <si>
    <t xml:space="preserve">Prep table pricing</t>
  </si>
  <si>
    <t xml:space="preserve">https://therestaurantwarehouse.com/blogs/restaurant-equipment/how-much-to-open-restaurant</t>
  </si>
</sst>
</file>

<file path=xl/styles.xml><?xml version="1.0" encoding="utf-8"?>
<styleSheet xmlns="http://schemas.openxmlformats.org/spreadsheetml/2006/main">
  <numFmts count="9">
    <numFmt numFmtId="164" formatCode="General"/>
    <numFmt numFmtId="165" formatCode="\$#,##0;&quot;($&quot;#,##0\);\-"/>
    <numFmt numFmtId="166" formatCode="0.0%;\(0.0%\);\-"/>
    <numFmt numFmtId="167" formatCode="#,##0.0;\(#,##0.0\);\-"/>
    <numFmt numFmtId="168" formatCode="#,##0;\(#,##0\);\-"/>
    <numFmt numFmtId="169" formatCode="#,##0.00;\(#,##0.00\);\-"/>
    <numFmt numFmtId="170" formatCode="\$#,##0.00;&quot;($&quot;#,##0.00\);\-"/>
    <numFmt numFmtId="171" formatCode="\$#,##0.000;&quot;($&quot;#,##0.000\);\-"/>
    <numFmt numFmtId="172"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008000"/>
      <name val="Arial"/>
      <family val="0"/>
      <charset val="1"/>
    </font>
    <font>
      <b val="true"/>
      <sz val="11"/>
      <color rgb="FF008000"/>
      <name val="Arial"/>
      <family val="0"/>
      <charset val="1"/>
    </font>
    <font>
      <sz val="11"/>
      <color rgb="FF0000FF"/>
      <name val="Arial"/>
      <family val="0"/>
      <charset val="1"/>
    </font>
    <font>
      <sz val="10"/>
      <name val="Arial"/>
      <family val="2"/>
    </font>
    <font>
      <b val="true"/>
      <sz val="12"/>
      <name val="Arial"/>
      <family val="0"/>
      <charset val="1"/>
    </font>
  </fonts>
  <fills count="7">
    <fill>
      <patternFill patternType="none"/>
    </fill>
    <fill>
      <patternFill patternType="gray125"/>
    </fill>
    <fill>
      <patternFill patternType="solid">
        <fgColor rgb="FF9E1414"/>
        <bgColor rgb="FF800000"/>
      </patternFill>
    </fill>
    <fill>
      <patternFill patternType="solid">
        <fgColor rgb="FF3A3A3A"/>
        <bgColor rgb="FF333300"/>
      </patternFill>
    </fill>
    <fill>
      <patternFill patternType="solid">
        <fgColor rgb="FFF0EEE9"/>
        <bgColor rgb="FFE3E1DC"/>
      </patternFill>
    </fill>
    <fill>
      <patternFill patternType="solid">
        <fgColor rgb="FFFFFF00"/>
        <bgColor rgb="FFFFFF00"/>
      </patternFill>
    </fill>
    <fill>
      <patternFill patternType="solid">
        <fgColor rgb="FFE3E1DC"/>
        <bgColor rgb="FFF0EEE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0" fontId="7" fillId="6"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5"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7" fontId="7" fillId="6"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true" applyProtection="false">
      <alignment horizontal="general" vertical="top" textRotation="0" wrapText="true" indent="0" shrinkToFit="false"/>
      <protection locked="true" hidden="false"/>
    </xf>
    <xf numFmtId="166" fontId="7" fillId="6"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E1414"/>
      <rgbColor rgb="FF008000"/>
      <rgbColor rgb="FF000080"/>
      <rgbColor rgb="FF808000"/>
      <rgbColor rgb="FF800080"/>
      <rgbColor rgb="FF008080"/>
      <rgbColor rgb="FFC0C0C0"/>
      <rgbColor rgb="FF808080"/>
      <rgbColor rgb="FF9999FF"/>
      <rgbColor rgb="FF993366"/>
      <rgbColor rgb="FFF0EEE9"/>
      <rgbColor rgb="FFCCFFFF"/>
      <rgbColor rgb="FF660066"/>
      <rgbColor rgb="FFFF8080"/>
      <rgbColor rgb="FF0066CC"/>
      <rgbColor rgb="FFE3E1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6"/>
    <col collapsed="false" customWidth="true" hidden="false" outlineLevel="0" max="5" min="5" style="0" width="4"/>
  </cols>
  <sheetData>
    <row r="1" customFormat="false" ht="17.35" hidden="false" customHeight="false" outlineLevel="0" collapsed="false">
      <c r="A1" s="1" t="s">
        <v>0</v>
      </c>
      <c r="B1" s="2"/>
      <c r="C1" s="2"/>
      <c r="D1" s="2"/>
      <c r="E1" s="2"/>
    </row>
    <row r="2" customFormat="false" ht="15" hidden="false" customHeight="false" outlineLevel="0" collapsed="false">
      <c r="A2" s="3" t="s">
        <v>1</v>
      </c>
    </row>
    <row r="4" customFormat="false" ht="15" hidden="false" customHeight="false" outlineLevel="0" collapsed="false">
      <c r="A4" s="4"/>
      <c r="B4" s="4" t="s">
        <v>2</v>
      </c>
      <c r="C4" s="4" t="s">
        <v>3</v>
      </c>
      <c r="D4" s="4" t="s">
        <v>4</v>
      </c>
    </row>
    <row r="5" customFormat="false" ht="15" hidden="false" customHeight="false" outlineLevel="0" collapsed="false">
      <c r="A5" s="5" t="s">
        <v>5</v>
      </c>
      <c r="B5" s="6"/>
      <c r="C5" s="6"/>
      <c r="D5" s="6"/>
      <c r="E5" s="6"/>
    </row>
    <row r="6" customFormat="false" ht="15" hidden="false" customHeight="false" outlineLevel="0" collapsed="false">
      <c r="A6" s="7" t="s">
        <v>6</v>
      </c>
      <c r="B6" s="8" t="n">
        <f aca="false">'Sales &amp; P&amp;L'!G25</f>
        <v>2339.675</v>
      </c>
      <c r="C6" s="8" t="n">
        <f aca="false">'Sales &amp; P&amp;L'!H25</f>
        <v>3599.5</v>
      </c>
      <c r="D6" s="8" t="n">
        <f aca="false">'Sales &amp; P&amp;L'!I25</f>
        <v>5039.3</v>
      </c>
    </row>
    <row r="7" customFormat="false" ht="15" hidden="false" customHeight="false" outlineLevel="0" collapsed="false">
      <c r="A7" s="7" t="s">
        <v>7</v>
      </c>
      <c r="B7" s="8" t="n">
        <f aca="false">'Sales &amp; P&amp;L'!G27</f>
        <v>11698.375</v>
      </c>
      <c r="C7" s="8" t="n">
        <f aca="false">'Sales &amp; P&amp;L'!H27</f>
        <v>17997.5</v>
      </c>
      <c r="D7" s="8" t="n">
        <f aca="false">'Sales &amp; P&amp;L'!I27</f>
        <v>25196.5</v>
      </c>
    </row>
    <row r="8" customFormat="false" ht="15" hidden="false" customHeight="false" outlineLevel="0" collapsed="false">
      <c r="A8" s="7" t="s">
        <v>8</v>
      </c>
      <c r="B8" s="8" t="n">
        <f aca="false">'Sales &amp; P&amp;L'!G36</f>
        <v>50653.96375</v>
      </c>
      <c r="C8" s="8" t="n">
        <f aca="false">'Sales &amp; P&amp;L'!H36</f>
        <v>77929.175</v>
      </c>
      <c r="D8" s="8" t="n">
        <f aca="false">'Sales &amp; P&amp;L'!I36</f>
        <v>109100.845</v>
      </c>
    </row>
    <row r="9" customFormat="false" ht="15" hidden="false" customHeight="false" outlineLevel="0" collapsed="false">
      <c r="A9" s="7" t="s">
        <v>9</v>
      </c>
      <c r="B9" s="8" t="n">
        <f aca="false">'Sales &amp; P&amp;L'!G35</f>
        <v>10683.842</v>
      </c>
      <c r="C9" s="8" t="n">
        <f aca="false">'Sales &amp; P&amp;L'!H35</f>
        <v>16436.68</v>
      </c>
      <c r="D9" s="8" t="n">
        <f aca="false">'Sales &amp; P&amp;L'!I35</f>
        <v>23011.352</v>
      </c>
    </row>
    <row r="10" customFormat="false" ht="15" hidden="false" customHeight="false" outlineLevel="0" collapsed="false">
      <c r="A10" s="5" t="s">
        <v>10</v>
      </c>
      <c r="B10" s="6"/>
      <c r="C10" s="6"/>
      <c r="D10" s="6"/>
      <c r="E10" s="6"/>
    </row>
    <row r="11" customFormat="false" ht="15" hidden="false" customHeight="false" outlineLevel="0" collapsed="false">
      <c r="A11" s="7" t="s">
        <v>11</v>
      </c>
      <c r="B11" s="9" t="n">
        <f aca="false">'Sales &amp; P&amp;L'!G41/'Sales &amp; P&amp;L'!G36</f>
        <v>0.344714455543902</v>
      </c>
      <c r="C11" s="9" t="n">
        <f aca="false">'Sales &amp; P&amp;L'!H41/'Sales &amp; P&amp;L'!H36</f>
        <v>0.344714455543902</v>
      </c>
      <c r="D11" s="9" t="n">
        <f aca="false">'Sales &amp; P&amp;L'!I41/'Sales &amp; P&amp;L'!I36</f>
        <v>0.344714455543902</v>
      </c>
    </row>
    <row r="12" customFormat="false" ht="15" hidden="false" customHeight="false" outlineLevel="0" collapsed="false">
      <c r="A12" s="7" t="s">
        <v>12</v>
      </c>
      <c r="B12" s="9" t="n">
        <f aca="false">'Sales &amp; P&amp;L'!G48/'Sales &amp; P&amp;L'!G36</f>
        <v>0.318313885159678</v>
      </c>
      <c r="C12" s="9" t="n">
        <f aca="false">'Sales &amp; P&amp;L'!H48/'Sales &amp; P&amp;L'!H36</f>
        <v>0.206904025353791</v>
      </c>
      <c r="D12" s="9" t="n">
        <f aca="false">'Sales &amp; P&amp;L'!I48/'Sales &amp; P&amp;L'!I36</f>
        <v>0.147788589538422</v>
      </c>
    </row>
    <row r="13" customFormat="false" ht="15" hidden="false" customHeight="false" outlineLevel="0" collapsed="false">
      <c r="A13" s="7" t="s">
        <v>13</v>
      </c>
      <c r="B13" s="9" t="n">
        <f aca="false">'Sales &amp; P&amp;L'!G50</f>
        <v>0.66302834070358</v>
      </c>
      <c r="C13" s="9" t="n">
        <f aca="false">'Sales &amp; P&amp;L'!H50</f>
        <v>0.551618480897693</v>
      </c>
      <c r="D13" s="9" t="n">
        <f aca="false">'Sales &amp; P&amp;L'!I50</f>
        <v>0.492503045082324</v>
      </c>
    </row>
    <row r="14" customFormat="false" ht="15" hidden="false" customHeight="false" outlineLevel="0" collapsed="false">
      <c r="A14" s="7" t="s">
        <v>14</v>
      </c>
      <c r="B14" s="9" t="n">
        <f aca="false">'Sales &amp; P&amp;L'!G54/'Sales &amp; P&amp;L'!G36</f>
        <v>0.183598662602194</v>
      </c>
      <c r="C14" s="9" t="n">
        <f aca="false">'Sales &amp; P&amp;L'!H54/'Sales &amp; P&amp;L'!H36</f>
        <v>0.119339130691426</v>
      </c>
      <c r="D14" s="9" t="n">
        <f aca="false">'Sales &amp; P&amp;L'!I54/'Sales &amp; P&amp;L'!I36</f>
        <v>0.0852422362081614</v>
      </c>
    </row>
    <row r="15" customFormat="false" ht="15" hidden="false" customHeight="false" outlineLevel="0" collapsed="false">
      <c r="A15" s="5" t="s">
        <v>15</v>
      </c>
      <c r="B15" s="6"/>
      <c r="C15" s="6"/>
      <c r="D15" s="6"/>
      <c r="E15" s="6"/>
    </row>
    <row r="16" customFormat="false" ht="15" hidden="false" customHeight="false" outlineLevel="0" collapsed="false">
      <c r="A16" s="7" t="s">
        <v>16</v>
      </c>
      <c r="B16" s="8" t="n">
        <f aca="false">'Sales &amp; P&amp;L'!G68</f>
        <v>1762.15599102821</v>
      </c>
      <c r="C16" s="8" t="n">
        <f aca="false">'Sales &amp; P&amp;L'!H68</f>
        <v>18298.7222938896</v>
      </c>
      <c r="D16" s="8" t="n">
        <f aca="false">'Sales &amp; P&amp;L'!I68</f>
        <v>37197.6552114454</v>
      </c>
    </row>
    <row r="17" customFormat="false" ht="15" hidden="false" customHeight="false" outlineLevel="0" collapsed="false">
      <c r="A17" s="7" t="s">
        <v>17</v>
      </c>
      <c r="B17" s="9" t="n">
        <f aca="false">'Sales &amp; P&amp;L'!G69</f>
        <v>0.0347881164784111</v>
      </c>
      <c r="C17" s="9" t="n">
        <f aca="false">'Sales &amp; P&amp;L'!H69</f>
        <v>0.234812216270601</v>
      </c>
      <c r="D17" s="9" t="n">
        <f aca="false">'Sales &amp; P&amp;L'!I69</f>
        <v>0.340947452895029</v>
      </c>
    </row>
    <row r="18" customFormat="false" ht="15" hidden="false" customHeight="false" outlineLevel="0" collapsed="false">
      <c r="A18" s="7" t="s">
        <v>18</v>
      </c>
      <c r="B18" s="8" t="n">
        <f aca="false">'Sales &amp; P&amp;L'!G72</f>
        <v>2018.1729659517</v>
      </c>
      <c r="C18" s="8" t="n">
        <f aca="false">'Sales &amp; P&amp;L'!H72</f>
        <v>3104.88148607955</v>
      </c>
      <c r="D18" s="8" t="n">
        <f aca="false">'Sales &amp; P&amp;L'!I72</f>
        <v>4346.83408051136</v>
      </c>
    </row>
    <row r="19" customFormat="false" ht="15" hidden="false" customHeight="false" outlineLevel="0" collapsed="false">
      <c r="A19" s="7" t="s">
        <v>19</v>
      </c>
      <c r="B19" s="8" t="n">
        <f aca="false">'Sales &amp; P&amp;L'!G73</f>
        <v>3780.32895697992</v>
      </c>
      <c r="C19" s="8" t="n">
        <f aca="false">'Sales &amp; P&amp;L'!H73</f>
        <v>21403.6037799691</v>
      </c>
      <c r="D19" s="8" t="n">
        <f aca="false">'Sales &amp; P&amp;L'!I73</f>
        <v>41544.4892919567</v>
      </c>
    </row>
    <row r="20" customFormat="false" ht="15" hidden="false" customHeight="false" outlineLevel="0" collapsed="false">
      <c r="A20" s="7" t="s">
        <v>20</v>
      </c>
      <c r="B20" s="10" t="n">
        <f aca="false">'Sales &amp; P&amp;L'!G74</f>
        <v>264.570171638418</v>
      </c>
      <c r="C20" s="10" t="n">
        <f aca="false">'Sales &amp; P&amp;L'!H74</f>
        <v>25.4779489798412</v>
      </c>
      <c r="D20" s="10" t="n">
        <f aca="false">'Sales &amp; P&amp;L'!I74</f>
        <v>12.533422075931</v>
      </c>
    </row>
    <row r="21" customFormat="false" ht="15" hidden="false" customHeight="false" outlineLevel="0" collapsed="false">
      <c r="A21" s="5" t="s">
        <v>21</v>
      </c>
      <c r="B21" s="6"/>
      <c r="C21" s="6"/>
      <c r="D21" s="6"/>
      <c r="E21" s="6"/>
    </row>
    <row r="22" customFormat="false" ht="15" hidden="false" customHeight="false" outlineLevel="0" collapsed="false">
      <c r="A22" s="7" t="s">
        <v>22</v>
      </c>
      <c r="B22" s="8" t="n">
        <f aca="false">'Who Makes Money'!B13</f>
        <v>2037.31145963697</v>
      </c>
      <c r="C22" s="8" t="n">
        <f aca="false">'Who Makes Money'!C13</f>
        <v>134071.115168672</v>
      </c>
      <c r="D22" s="8" t="n">
        <f aca="false">'Who Makes Money'!D13</f>
        <v>284966.890836141</v>
      </c>
    </row>
    <row r="23" customFormat="false" ht="15" hidden="false" customHeight="false" outlineLevel="0" collapsed="false">
      <c r="A23" s="7" t="s">
        <v>23</v>
      </c>
      <c r="B23" s="9" t="n">
        <f aca="false">'Who Makes Money'!B14</f>
        <v>0.0043699070380102</v>
      </c>
      <c r="C23" s="9" t="n">
        <f aca="false">'Who Makes Money'!C14</f>
        <v>0.287574247422067</v>
      </c>
      <c r="D23" s="9" t="n">
        <f aca="false">'Who Makes Money'!D14</f>
        <v>0.611236350718133</v>
      </c>
    </row>
    <row r="24" customFormat="false" ht="15" hidden="false" customHeight="false" outlineLevel="0" collapsed="false">
      <c r="A24" s="7" t="s">
        <v>24</v>
      </c>
      <c r="B24" s="8" t="n">
        <f aca="false">'Who Makes Money'!B21</f>
        <v>43326.636024122</v>
      </c>
      <c r="C24" s="8" t="n">
        <f aca="false">'Who Makes Money'!C21</f>
        <v>122772.130190957</v>
      </c>
      <c r="D24" s="8" t="n">
        <f aca="false">'Who Makes Money'!D21</f>
        <v>213566.98066734</v>
      </c>
    </row>
    <row r="25" customFormat="false" ht="15" hidden="false" customHeight="false" outlineLevel="0" collapsed="false">
      <c r="A25" s="5" t="s">
        <v>25</v>
      </c>
      <c r="B25" s="6"/>
      <c r="C25" s="6"/>
      <c r="D25" s="6"/>
      <c r="E25" s="6"/>
    </row>
    <row r="26" customFormat="false" ht="15" hidden="false" customHeight="false" outlineLevel="0" collapsed="false">
      <c r="A26" s="7" t="s">
        <v>26</v>
      </c>
      <c r="C26" s="11" t="n">
        <f aca="false">'Startup Budget'!$F$47</f>
        <v>725305.713</v>
      </c>
    </row>
    <row r="27" customFormat="false" ht="15" hidden="false" customHeight="false" outlineLevel="0" collapsed="false">
      <c r="A27" s="7" t="s">
        <v>27</v>
      </c>
      <c r="C27" s="11" t="n">
        <f aca="false">'Startup Budget'!$G$47</f>
        <v>466213.913</v>
      </c>
    </row>
    <row r="28" customFormat="false" ht="15" hidden="false" customHeight="false" outlineLevel="0" collapsed="false">
      <c r="A28" s="7" t="s">
        <v>28</v>
      </c>
      <c r="C28" s="11" t="n">
        <f aca="false">'Startup Budget'!$F$50</f>
        <v>466213.913</v>
      </c>
    </row>
    <row r="29" customFormat="false" ht="15" hidden="false" customHeight="false" outlineLevel="0" collapsed="false">
      <c r="A29" s="7" t="s">
        <v>29</v>
      </c>
      <c r="C29" s="11" t="n">
        <f aca="false">'Break-Even'!$B$19</f>
        <v>2205.42656349036</v>
      </c>
    </row>
    <row r="30" customFormat="false" ht="15" hidden="false" customHeight="false" outlineLevel="0" collapsed="false">
      <c r="A30" s="7" t="s">
        <v>30</v>
      </c>
      <c r="C30" s="11" t="n">
        <f aca="false">'Break-Even'!$B$18</f>
        <v>11027.1328174518</v>
      </c>
    </row>
    <row r="31" customFormat="false" ht="15" hidden="false" customHeight="false" outlineLevel="0" collapsed="false">
      <c r="A31" s="7" t="s">
        <v>31</v>
      </c>
      <c r="C31" s="12" t="n">
        <f aca="false">'Break-Even'!$B$20</f>
        <v>47.1244992198795</v>
      </c>
    </row>
    <row r="32" customFormat="false" ht="15" hidden="false" customHeight="false" outlineLevel="0" collapsed="false">
      <c r="A32" s="7" t="s">
        <v>32</v>
      </c>
      <c r="C32" s="11" t="n">
        <f aca="false">'Break-Even'!$B$28</f>
        <v>2797.3954283161</v>
      </c>
    </row>
    <row r="33" customFormat="false" ht="15" hidden="false" customHeight="false" outlineLevel="0" collapsed="false">
      <c r="A33" s="7" t="s">
        <v>33</v>
      </c>
      <c r="C33" s="13" t="n">
        <f aca="false">'Menu Costing'!E43/'Menu Costing'!E44</f>
        <v>0.31957480683028</v>
      </c>
    </row>
    <row r="34" customFormat="false" ht="15" hidden="false" customHeight="false" outlineLevel="0" collapsed="false">
      <c r="A34" s="7" t="s">
        <v>34</v>
      </c>
      <c r="C34" s="13" t="n">
        <f aca="false">'Menu Costing'!F43/'Menu Costing'!F44</f>
        <v>0.358654994390861</v>
      </c>
    </row>
    <row r="35" customFormat="false" ht="15" hidden="false" customHeight="false" outlineLevel="0" collapsed="false">
      <c r="A35" s="7" t="s">
        <v>35</v>
      </c>
      <c r="C35" s="13" t="n">
        <f aca="false">'Menu Costing'!G43/'Menu Costing'!G44</f>
        <v>0.31725230561244</v>
      </c>
    </row>
    <row r="36" customFormat="false" ht="15" hidden="false" customHeight="false" outlineLevel="0" collapsed="false">
      <c r="A36" s="7" t="s">
        <v>36</v>
      </c>
      <c r="C36" s="13" t="n">
        <f aca="false">'Menu Costing'!H43/'Menu Costing'!H44</f>
        <v>0.251494736335386</v>
      </c>
    </row>
    <row r="37" customFormat="false" ht="15" hidden="false" customHeight="false" outlineLevel="0" collapsed="false">
      <c r="A37" s="7" t="s">
        <v>37</v>
      </c>
      <c r="C37" s="13" t="n">
        <f aca="false">'Menu Costing'!S43/'Menu Costing'!S44</f>
        <v>0.175317725752508</v>
      </c>
    </row>
    <row r="38" customFormat="false" ht="15" hidden="false" customHeight="false" outlineLevel="0" collapsed="false">
      <c r="A38" s="7" t="s">
        <v>38</v>
      </c>
      <c r="C38" s="13" t="n">
        <f aca="false">'Menu Costing'!T43/'Menu Costing'!T44</f>
        <v>0.273750914506689</v>
      </c>
    </row>
    <row r="39" customFormat="false" ht="15" hidden="false" customHeight="false" outlineLevel="0" collapsed="false">
      <c r="A39" s="7" t="s">
        <v>39</v>
      </c>
      <c r="C39" s="13" t="n">
        <f aca="false">'Menu Costing'!V43/'Menu Costing'!V44</f>
        <v>0.420239658610658</v>
      </c>
    </row>
    <row r="40" customFormat="false" ht="15" hidden="false" customHeight="false" outlineLevel="0" collapsed="false">
      <c r="A40" s="7" t="s">
        <v>40</v>
      </c>
      <c r="C40" s="11" t="n">
        <f aca="false">'Direct vs Distributor'!$I$11</f>
        <v>18929.171625</v>
      </c>
    </row>
    <row r="41" customFormat="false" ht="15" hidden="false" customHeight="false" outlineLevel="0" collapsed="false">
      <c r="A41" s="7" t="s">
        <v>41</v>
      </c>
      <c r="C41" s="11" t="n">
        <f aca="false">'Direct vs Distributor'!$I$15</f>
        <v>56787.514875</v>
      </c>
    </row>
    <row r="42" customFormat="false" ht="15" hidden="false" customHeight="false" outlineLevel="0" collapsed="false">
      <c r="A42" s="7" t="s">
        <v>42</v>
      </c>
      <c r="C42" s="13" t="n">
        <f aca="false">'Direct vs Distributor'!$E$5</f>
        <v>0.16260162601626</v>
      </c>
    </row>
    <row r="44" customFormat="false" ht="54" hidden="false" customHeight="true" outlineLevel="0" collapsed="false">
      <c r="A44" s="14" t="s">
        <v>43</v>
      </c>
      <c r="B44" s="14"/>
      <c r="C44" s="14"/>
      <c r="D44" s="14"/>
    </row>
    <row r="45" customFormat="false" ht="54" hidden="false" customHeight="true" outlineLevel="0" collapsed="false">
      <c r="A45" s="14" t="s">
        <v>44</v>
      </c>
      <c r="B45" s="14"/>
      <c r="C45" s="14"/>
      <c r="D45" s="14"/>
    </row>
  </sheetData>
  <mergeCells count="2">
    <mergeCell ref="A44:D44"/>
    <mergeCell ref="A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2"/>
    <col collapsed="false" customWidth="true" hidden="false" outlineLevel="0" max="4" min="4" style="0" width="70"/>
  </cols>
  <sheetData>
    <row r="1" customFormat="false" ht="17.35" hidden="false" customHeight="false" outlineLevel="0" collapsed="false">
      <c r="A1" s="1" t="s">
        <v>45</v>
      </c>
      <c r="B1" s="2"/>
      <c r="C1" s="2"/>
      <c r="D1" s="2"/>
    </row>
    <row r="2" customFormat="false" ht="15" hidden="false" customHeight="false" outlineLevel="0" collapsed="false">
      <c r="A2" s="3" t="s">
        <v>46</v>
      </c>
    </row>
    <row r="4" customFormat="false" ht="15" hidden="false" customHeight="false" outlineLevel="0" collapsed="false">
      <c r="A4" s="5" t="s">
        <v>47</v>
      </c>
      <c r="B4" s="6"/>
      <c r="C4" s="6"/>
      <c r="D4" s="6"/>
    </row>
    <row r="5" customFormat="false" ht="15" hidden="false" customHeight="false" outlineLevel="0" collapsed="false">
      <c r="A5" s="7" t="s">
        <v>48</v>
      </c>
      <c r="B5" s="15" t="n">
        <v>5</v>
      </c>
      <c r="C5" s="3" t="s">
        <v>49</v>
      </c>
      <c r="D5" s="3" t="s">
        <v>50</v>
      </c>
    </row>
    <row r="6" customFormat="false" ht="15" hidden="false" customHeight="false" outlineLevel="0" collapsed="false">
      <c r="A6" s="7" t="s">
        <v>51</v>
      </c>
      <c r="B6" s="16" t="n">
        <v>4.33</v>
      </c>
      <c r="C6" s="3" t="s">
        <v>52</v>
      </c>
      <c r="D6" s="3" t="s">
        <v>53</v>
      </c>
    </row>
    <row r="7" customFormat="false" ht="15" hidden="false" customHeight="false" outlineLevel="0" collapsed="false">
      <c r="A7" s="7" t="s">
        <v>54</v>
      </c>
      <c r="B7" s="17" t="n">
        <v>0.65</v>
      </c>
      <c r="C7" s="3"/>
      <c r="D7" s="3" t="s">
        <v>55</v>
      </c>
    </row>
    <row r="8" customFormat="false" ht="15" hidden="false" customHeight="false" outlineLevel="0" collapsed="false">
      <c r="A8" s="7" t="s">
        <v>56</v>
      </c>
      <c r="B8" s="17" t="n">
        <v>1</v>
      </c>
      <c r="C8" s="3"/>
      <c r="D8" s="3" t="s">
        <v>57</v>
      </c>
    </row>
    <row r="9" customFormat="false" ht="15" hidden="false" customHeight="false" outlineLevel="0" collapsed="false">
      <c r="A9" s="7" t="s">
        <v>58</v>
      </c>
      <c r="B9" s="17" t="n">
        <v>1.4</v>
      </c>
      <c r="C9" s="3"/>
      <c r="D9" s="3" t="s">
        <v>59</v>
      </c>
    </row>
    <row r="10" customFormat="false" ht="15" hidden="false" customHeight="false" outlineLevel="0" collapsed="false">
      <c r="A10" s="7" t="s">
        <v>60</v>
      </c>
      <c r="B10" s="18" t="n">
        <v>46.8</v>
      </c>
      <c r="C10" s="3" t="s">
        <v>61</v>
      </c>
      <c r="D10" s="3" t="s">
        <v>62</v>
      </c>
    </row>
    <row r="11" customFormat="false" ht="15" hidden="false" customHeight="false" outlineLevel="0" collapsed="false">
      <c r="A11" s="5" t="s">
        <v>63</v>
      </c>
      <c r="B11" s="6"/>
      <c r="C11" s="6"/>
      <c r="D11" s="6"/>
    </row>
    <row r="12" customFormat="false" ht="15" hidden="false" customHeight="false" outlineLevel="0" collapsed="false">
      <c r="A12" s="7" t="s">
        <v>64</v>
      </c>
      <c r="B12" s="17" t="n">
        <v>0.25</v>
      </c>
      <c r="C12" s="3"/>
      <c r="D12" s="3" t="s">
        <v>65</v>
      </c>
    </row>
    <row r="13" customFormat="false" ht="15" hidden="false" customHeight="false" outlineLevel="0" collapsed="false">
      <c r="A13" s="7" t="s">
        <v>66</v>
      </c>
      <c r="B13" s="15" t="n">
        <v>20</v>
      </c>
      <c r="C13" s="3" t="s">
        <v>67</v>
      </c>
      <c r="D13" s="3" t="s">
        <v>68</v>
      </c>
    </row>
    <row r="14" customFormat="false" ht="15" hidden="false" customHeight="false" outlineLevel="0" collapsed="false">
      <c r="A14" s="7" t="s">
        <v>69</v>
      </c>
      <c r="B14" s="19" t="n">
        <v>18</v>
      </c>
      <c r="C14" s="3" t="s">
        <v>70</v>
      </c>
      <c r="D14" s="3" t="s">
        <v>71</v>
      </c>
    </row>
    <row r="15" customFormat="false" ht="15" hidden="false" customHeight="false" outlineLevel="0" collapsed="false">
      <c r="A15" s="7" t="s">
        <v>72</v>
      </c>
      <c r="B15" s="19" t="n">
        <v>15</v>
      </c>
      <c r="C15" s="3" t="s">
        <v>61</v>
      </c>
      <c r="D15" s="3" t="s">
        <v>73</v>
      </c>
    </row>
    <row r="16" customFormat="false" ht="15" hidden="false" customHeight="false" outlineLevel="0" collapsed="false">
      <c r="A16" s="7" t="s">
        <v>74</v>
      </c>
      <c r="B16" s="15" t="n">
        <v>4</v>
      </c>
      <c r="C16" s="3"/>
      <c r="D16" s="3" t="s">
        <v>75</v>
      </c>
    </row>
    <row r="17" customFormat="false" ht="15" hidden="false" customHeight="false" outlineLevel="0" collapsed="false">
      <c r="A17" s="7" t="s">
        <v>76</v>
      </c>
      <c r="B17" s="15" t="n">
        <v>3</v>
      </c>
      <c r="C17" s="3" t="s">
        <v>49</v>
      </c>
      <c r="D17" s="3" t="s">
        <v>77</v>
      </c>
    </row>
    <row r="18" customFormat="false" ht="15" hidden="false" customHeight="false" outlineLevel="0" collapsed="false">
      <c r="A18" s="7" t="s">
        <v>78</v>
      </c>
      <c r="B18" s="18" t="n">
        <v>0.08</v>
      </c>
      <c r="C18" s="3" t="s">
        <v>79</v>
      </c>
      <c r="D18" s="3" t="s">
        <v>80</v>
      </c>
    </row>
    <row r="19" customFormat="false" ht="15" hidden="false" customHeight="false" outlineLevel="0" collapsed="false">
      <c r="A19" s="7" t="s">
        <v>81</v>
      </c>
      <c r="B19" s="20" t="n">
        <v>1.5</v>
      </c>
      <c r="C19" s="3" t="s">
        <v>82</v>
      </c>
      <c r="D19" s="3" t="s">
        <v>83</v>
      </c>
    </row>
    <row r="20" customFormat="false" ht="15" hidden="false" customHeight="false" outlineLevel="0" collapsed="false">
      <c r="A20" s="7" t="s">
        <v>84</v>
      </c>
      <c r="B20" s="19" t="n">
        <v>60</v>
      </c>
      <c r="C20" s="3" t="s">
        <v>85</v>
      </c>
      <c r="D20" s="3" t="s">
        <v>86</v>
      </c>
    </row>
    <row r="21" customFormat="false" ht="15" hidden="false" customHeight="false" outlineLevel="0" collapsed="false">
      <c r="A21" s="7" t="s">
        <v>87</v>
      </c>
      <c r="B21" s="21" t="n">
        <v>10100</v>
      </c>
      <c r="C21" s="3" t="s">
        <v>88</v>
      </c>
      <c r="D21" s="3" t="s">
        <v>89</v>
      </c>
    </row>
    <row r="22" customFormat="false" ht="15" hidden="false" customHeight="false" outlineLevel="0" collapsed="false">
      <c r="A22" s="7" t="s">
        <v>90</v>
      </c>
      <c r="B22" s="17" t="n">
        <v>0</v>
      </c>
      <c r="C22" s="3"/>
      <c r="D22" s="3" t="s">
        <v>91</v>
      </c>
    </row>
    <row r="23" customFormat="false" ht="15" hidden="false" customHeight="false" outlineLevel="0" collapsed="false">
      <c r="A23" s="7" t="s">
        <v>92</v>
      </c>
      <c r="B23" s="22" t="n">
        <f aca="false">'Commissary P&amp;L'!$B$20</f>
        <v>1.21209836474847</v>
      </c>
      <c r="C23" s="3" t="s">
        <v>79</v>
      </c>
      <c r="D23" s="3" t="s">
        <v>93</v>
      </c>
    </row>
    <row r="24" customFormat="false" ht="15" hidden="false" customHeight="false" outlineLevel="0" collapsed="false">
      <c r="A24" s="5" t="s">
        <v>94</v>
      </c>
      <c r="B24" s="6"/>
      <c r="C24" s="6"/>
      <c r="D24" s="6"/>
    </row>
    <row r="25" customFormat="false" ht="15" hidden="false" customHeight="false" outlineLevel="0" collapsed="false">
      <c r="A25" s="7" t="s">
        <v>95</v>
      </c>
      <c r="B25" s="18" t="n">
        <v>4.92</v>
      </c>
      <c r="C25" s="3" t="s">
        <v>79</v>
      </c>
      <c r="D25" s="3" t="s">
        <v>96</v>
      </c>
    </row>
    <row r="26" customFormat="false" ht="15" hidden="false" customHeight="false" outlineLevel="0" collapsed="false">
      <c r="A26" s="7" t="s">
        <v>97</v>
      </c>
      <c r="B26" s="18" t="n">
        <v>1.23</v>
      </c>
      <c r="C26" s="3" t="s">
        <v>79</v>
      </c>
      <c r="D26" s="3" t="s">
        <v>98</v>
      </c>
    </row>
    <row r="27" customFormat="false" ht="15" hidden="false" customHeight="false" outlineLevel="0" collapsed="false">
      <c r="A27" s="7" t="s">
        <v>99</v>
      </c>
      <c r="B27" s="18" t="n">
        <v>1.69</v>
      </c>
      <c r="C27" s="3" t="s">
        <v>79</v>
      </c>
      <c r="D27" s="3" t="s">
        <v>100</v>
      </c>
    </row>
    <row r="28" customFormat="false" ht="15" hidden="false" customHeight="false" outlineLevel="0" collapsed="false">
      <c r="A28" s="7" t="s">
        <v>101</v>
      </c>
      <c r="B28" s="18" t="n">
        <v>2.38</v>
      </c>
      <c r="C28" s="3" t="s">
        <v>79</v>
      </c>
      <c r="D28" s="3" t="s">
        <v>102</v>
      </c>
    </row>
    <row r="29" customFormat="false" ht="15" hidden="false" customHeight="false" outlineLevel="0" collapsed="false">
      <c r="A29" s="7" t="s">
        <v>103</v>
      </c>
      <c r="B29" s="23" t="n">
        <v>0.529</v>
      </c>
      <c r="C29" s="3" t="s">
        <v>79</v>
      </c>
      <c r="D29" s="3" t="s">
        <v>104</v>
      </c>
    </row>
    <row r="30" customFormat="false" ht="15" hidden="false" customHeight="false" outlineLevel="0" collapsed="false">
      <c r="A30" s="5" t="s">
        <v>105</v>
      </c>
      <c r="B30" s="6"/>
      <c r="C30" s="6"/>
      <c r="D30" s="6"/>
    </row>
    <row r="31" customFormat="false" ht="15" hidden="false" customHeight="false" outlineLevel="0" collapsed="false">
      <c r="A31" s="7" t="s">
        <v>106</v>
      </c>
      <c r="B31" s="19" t="n">
        <v>5.72</v>
      </c>
      <c r="C31" s="3" t="s">
        <v>79</v>
      </c>
      <c r="D31" s="3" t="s">
        <v>107</v>
      </c>
    </row>
    <row r="32" customFormat="false" ht="15" hidden="false" customHeight="false" outlineLevel="0" collapsed="false">
      <c r="A32" s="7" t="s">
        <v>108</v>
      </c>
      <c r="B32" s="19" t="n">
        <v>2.07</v>
      </c>
      <c r="C32" s="3" t="s">
        <v>79</v>
      </c>
      <c r="D32" s="3" t="s">
        <v>109</v>
      </c>
    </row>
    <row r="33" customFormat="false" ht="15" hidden="false" customHeight="false" outlineLevel="0" collapsed="false">
      <c r="A33" s="7" t="s">
        <v>110</v>
      </c>
      <c r="B33" s="19" t="n">
        <v>2.89</v>
      </c>
      <c r="C33" s="3" t="s">
        <v>79</v>
      </c>
      <c r="D33" s="3" t="s">
        <v>111</v>
      </c>
    </row>
    <row r="34" customFormat="false" ht="15" hidden="false" customHeight="false" outlineLevel="0" collapsed="false">
      <c r="A34" s="7" t="s">
        <v>112</v>
      </c>
      <c r="B34" s="19" t="n">
        <v>4.21</v>
      </c>
      <c r="C34" s="3" t="s">
        <v>79</v>
      </c>
      <c r="D34" s="3" t="s">
        <v>113</v>
      </c>
    </row>
    <row r="35" customFormat="false" ht="15" hidden="false" customHeight="false" outlineLevel="0" collapsed="false">
      <c r="A35" s="7" t="s">
        <v>114</v>
      </c>
      <c r="B35" s="19" t="n">
        <v>0.81</v>
      </c>
      <c r="C35" s="3" t="s">
        <v>79</v>
      </c>
      <c r="D35" s="3" t="s">
        <v>115</v>
      </c>
    </row>
    <row r="36" customFormat="false" ht="15" hidden="false" customHeight="false" outlineLevel="0" collapsed="false">
      <c r="A36" s="7" t="s">
        <v>116</v>
      </c>
      <c r="B36" s="19" t="n">
        <v>5.89</v>
      </c>
      <c r="C36" s="3" t="s">
        <v>79</v>
      </c>
      <c r="D36" s="3" t="s">
        <v>117</v>
      </c>
    </row>
    <row r="37" customFormat="false" ht="15" hidden="false" customHeight="false" outlineLevel="0" collapsed="false">
      <c r="A37" s="7" t="s">
        <v>118</v>
      </c>
      <c r="B37" s="17" t="n">
        <v>0.15</v>
      </c>
      <c r="C37" s="3"/>
      <c r="D37" s="3" t="s">
        <v>119</v>
      </c>
    </row>
    <row r="38" customFormat="false" ht="15" hidden="false" customHeight="false" outlineLevel="0" collapsed="false">
      <c r="A38" s="5" t="s">
        <v>120</v>
      </c>
      <c r="B38" s="6"/>
      <c r="C38" s="6"/>
      <c r="D38" s="6"/>
    </row>
    <row r="39" customFormat="false" ht="15" hidden="false" customHeight="false" outlineLevel="0" collapsed="false">
      <c r="A39" s="7" t="s">
        <v>121</v>
      </c>
      <c r="B39" s="17" t="n">
        <v>0.5</v>
      </c>
      <c r="C39" s="3"/>
      <c r="D39" s="3" t="s">
        <v>122</v>
      </c>
    </row>
    <row r="40" customFormat="false" ht="15" hidden="false" customHeight="false" outlineLevel="0" collapsed="false">
      <c r="A40" s="7" t="s">
        <v>123</v>
      </c>
      <c r="B40" s="24" t="n">
        <v>0.55</v>
      </c>
      <c r="C40" s="3"/>
      <c r="D40" s="3" t="s">
        <v>124</v>
      </c>
    </row>
    <row r="41" customFormat="false" ht="15" hidden="false" customHeight="false" outlineLevel="0" collapsed="false">
      <c r="A41" s="7" t="s">
        <v>125</v>
      </c>
      <c r="B41" s="24" t="n">
        <v>0.6</v>
      </c>
      <c r="C41" s="3"/>
      <c r="D41" s="3" t="s">
        <v>126</v>
      </c>
    </row>
    <row r="42" customFormat="false" ht="15" hidden="false" customHeight="false" outlineLevel="0" collapsed="false">
      <c r="A42" s="7" t="s">
        <v>127</v>
      </c>
      <c r="B42" s="25" t="n">
        <v>3.5</v>
      </c>
      <c r="C42" s="3" t="s">
        <v>128</v>
      </c>
      <c r="D42" s="3" t="s">
        <v>129</v>
      </c>
    </row>
    <row r="43" customFormat="false" ht="15" hidden="false" customHeight="false" outlineLevel="0" collapsed="false">
      <c r="A43" s="7" t="s">
        <v>130</v>
      </c>
      <c r="B43" s="26" t="n">
        <v>12</v>
      </c>
      <c r="C43" s="3" t="s">
        <v>131</v>
      </c>
      <c r="D43" s="3" t="s">
        <v>132</v>
      </c>
    </row>
    <row r="44" customFormat="false" ht="15" hidden="false" customHeight="false" outlineLevel="0" collapsed="false">
      <c r="A44" s="7" t="s">
        <v>133</v>
      </c>
      <c r="B44" s="16" t="n">
        <v>0.75</v>
      </c>
      <c r="C44" s="3" t="s">
        <v>128</v>
      </c>
      <c r="D44" s="3" t="s">
        <v>134</v>
      </c>
    </row>
    <row r="45" customFormat="false" ht="15" hidden="false" customHeight="false" outlineLevel="0" collapsed="false">
      <c r="A45" s="7" t="s">
        <v>135</v>
      </c>
      <c r="B45" s="26" t="n">
        <v>4</v>
      </c>
      <c r="C45" s="3" t="s">
        <v>136</v>
      </c>
      <c r="D45" s="3" t="s">
        <v>137</v>
      </c>
    </row>
    <row r="46" customFormat="false" ht="15" hidden="false" customHeight="false" outlineLevel="0" collapsed="false">
      <c r="A46" s="7" t="s">
        <v>138</v>
      </c>
      <c r="B46" s="26" t="n">
        <v>14</v>
      </c>
      <c r="C46" s="3" t="s">
        <v>128</v>
      </c>
      <c r="D46" s="3" t="s">
        <v>139</v>
      </c>
    </row>
    <row r="47" customFormat="false" ht="15" hidden="false" customHeight="false" outlineLevel="0" collapsed="false">
      <c r="A47" s="7" t="s">
        <v>140</v>
      </c>
      <c r="B47" s="26" t="n">
        <v>9</v>
      </c>
      <c r="C47" s="3" t="s">
        <v>128</v>
      </c>
      <c r="D47" s="3"/>
    </row>
    <row r="48" customFormat="false" ht="15" hidden="false" customHeight="false" outlineLevel="0" collapsed="false">
      <c r="A48" s="7" t="s">
        <v>141</v>
      </c>
      <c r="B48" s="24" t="n">
        <v>0.1</v>
      </c>
      <c r="C48" s="3"/>
      <c r="D48" s="3" t="s">
        <v>142</v>
      </c>
    </row>
    <row r="49" customFormat="false" ht="15" hidden="false" customHeight="false" outlineLevel="0" collapsed="false">
      <c r="A49" s="5" t="s">
        <v>143</v>
      </c>
      <c r="B49" s="6"/>
      <c r="C49" s="6"/>
      <c r="D49" s="6"/>
    </row>
    <row r="50" customFormat="false" ht="15" hidden="false" customHeight="false" outlineLevel="0" collapsed="false">
      <c r="A50" s="7" t="s">
        <v>144</v>
      </c>
      <c r="B50" s="18" t="n">
        <v>59.99</v>
      </c>
      <c r="C50" s="3"/>
      <c r="D50" s="3" t="s">
        <v>145</v>
      </c>
    </row>
    <row r="51" customFormat="false" ht="15" hidden="false" customHeight="false" outlineLevel="0" collapsed="false">
      <c r="A51" s="7" t="s">
        <v>146</v>
      </c>
      <c r="B51" s="18" t="n">
        <v>119.99</v>
      </c>
      <c r="C51" s="3"/>
      <c r="D51" s="3" t="s">
        <v>147</v>
      </c>
    </row>
    <row r="52" customFormat="false" ht="15" hidden="false" customHeight="false" outlineLevel="0" collapsed="false">
      <c r="A52" s="7" t="s">
        <v>148</v>
      </c>
      <c r="B52" s="18" t="n">
        <v>17.99</v>
      </c>
      <c r="C52" s="3"/>
      <c r="D52" s="3" t="s">
        <v>149</v>
      </c>
    </row>
    <row r="53" customFormat="false" ht="15" hidden="false" customHeight="false" outlineLevel="0" collapsed="false">
      <c r="A53" s="7" t="s">
        <v>150</v>
      </c>
      <c r="B53" s="18" t="n">
        <v>14.99</v>
      </c>
      <c r="C53" s="3"/>
      <c r="D53" s="3" t="s">
        <v>151</v>
      </c>
    </row>
    <row r="54" customFormat="false" ht="15" hidden="false" customHeight="false" outlineLevel="0" collapsed="false">
      <c r="A54" s="7" t="s">
        <v>152</v>
      </c>
      <c r="B54" s="18" t="n">
        <v>45.99</v>
      </c>
      <c r="C54" s="3"/>
      <c r="D54" s="3" t="s">
        <v>153</v>
      </c>
    </row>
    <row r="55" customFormat="false" ht="15" hidden="false" customHeight="false" outlineLevel="0" collapsed="false">
      <c r="A55" s="7" t="s">
        <v>154</v>
      </c>
      <c r="B55" s="18" t="n">
        <v>18.99</v>
      </c>
      <c r="C55" s="3"/>
      <c r="D55" s="3" t="s">
        <v>155</v>
      </c>
    </row>
    <row r="56" customFormat="false" ht="15" hidden="false" customHeight="false" outlineLevel="0" collapsed="false">
      <c r="A56" s="7" t="s">
        <v>156</v>
      </c>
      <c r="B56" s="18" t="n">
        <v>46.99</v>
      </c>
      <c r="C56" s="3"/>
      <c r="D56" s="3" t="s">
        <v>155</v>
      </c>
    </row>
    <row r="57" customFormat="false" ht="15" hidden="false" customHeight="false" outlineLevel="0" collapsed="false">
      <c r="A57" s="7" t="s">
        <v>157</v>
      </c>
      <c r="B57" s="18" t="n">
        <v>36.99</v>
      </c>
      <c r="C57" s="3"/>
      <c r="D57" s="3" t="s">
        <v>155</v>
      </c>
    </row>
    <row r="58" customFormat="false" ht="15" hidden="false" customHeight="false" outlineLevel="0" collapsed="false">
      <c r="A58" s="7" t="s">
        <v>158</v>
      </c>
      <c r="B58" s="18" t="n">
        <v>5.99</v>
      </c>
      <c r="C58" s="3"/>
      <c r="D58" s="3" t="s">
        <v>155</v>
      </c>
    </row>
    <row r="59" customFormat="false" ht="15" hidden="false" customHeight="false" outlineLevel="0" collapsed="false">
      <c r="A59" s="7" t="s">
        <v>159</v>
      </c>
      <c r="B59" s="18" t="n">
        <v>7.99</v>
      </c>
      <c r="C59" s="3"/>
      <c r="D59" s="3" t="s">
        <v>155</v>
      </c>
    </row>
    <row r="60" customFormat="false" ht="15" hidden="false" customHeight="false" outlineLevel="0" collapsed="false">
      <c r="A60" s="7" t="s">
        <v>160</v>
      </c>
      <c r="B60" s="18" t="n">
        <v>5.99</v>
      </c>
      <c r="C60" s="3"/>
      <c r="D60" s="3" t="s">
        <v>155</v>
      </c>
    </row>
    <row r="61" customFormat="false" ht="15" hidden="false" customHeight="false" outlineLevel="0" collapsed="false">
      <c r="A61" s="7" t="s">
        <v>161</v>
      </c>
      <c r="B61" s="18" t="n">
        <v>5.99</v>
      </c>
      <c r="C61" s="3"/>
      <c r="D61" s="3" t="s">
        <v>162</v>
      </c>
    </row>
    <row r="62" customFormat="false" ht="15" hidden="false" customHeight="false" outlineLevel="0" collapsed="false">
      <c r="A62" s="7" t="s">
        <v>163</v>
      </c>
      <c r="B62" s="18" t="n">
        <v>2.99</v>
      </c>
      <c r="C62" s="3"/>
      <c r="D62" s="3" t="s">
        <v>164</v>
      </c>
    </row>
    <row r="63" customFormat="false" ht="15" hidden="false" customHeight="false" outlineLevel="0" collapsed="false">
      <c r="A63" s="7" t="s">
        <v>165</v>
      </c>
      <c r="B63" s="18" t="n">
        <v>2.99</v>
      </c>
      <c r="C63" s="3"/>
      <c r="D63" s="3" t="s">
        <v>166</v>
      </c>
    </row>
    <row r="64" customFormat="false" ht="15" hidden="false" customHeight="false" outlineLevel="0" collapsed="false">
      <c r="A64" s="7" t="s">
        <v>167</v>
      </c>
      <c r="B64" s="18" t="n">
        <v>289</v>
      </c>
      <c r="C64" s="3"/>
      <c r="D64" s="3" t="s">
        <v>153</v>
      </c>
    </row>
    <row r="65" customFormat="false" ht="15" hidden="false" customHeight="false" outlineLevel="0" collapsed="false">
      <c r="A65" s="7" t="s">
        <v>168</v>
      </c>
      <c r="B65" s="18" t="n">
        <v>570</v>
      </c>
      <c r="C65" s="3"/>
      <c r="D65" s="3" t="s">
        <v>153</v>
      </c>
    </row>
    <row r="66" customFormat="false" ht="15" hidden="false" customHeight="false" outlineLevel="0" collapsed="false">
      <c r="A66" s="7" t="s">
        <v>169</v>
      </c>
      <c r="B66" s="18" t="n">
        <v>825</v>
      </c>
      <c r="C66" s="3"/>
      <c r="D66" s="3" t="s">
        <v>153</v>
      </c>
    </row>
    <row r="67" customFormat="false" ht="15" hidden="false" customHeight="false" outlineLevel="0" collapsed="false">
      <c r="A67" s="7" t="s">
        <v>170</v>
      </c>
      <c r="B67" s="18" t="n">
        <v>1350</v>
      </c>
      <c r="C67" s="3"/>
      <c r="D67" s="3" t="s">
        <v>153</v>
      </c>
    </row>
    <row r="68" customFormat="false" ht="15" hidden="false" customHeight="false" outlineLevel="0" collapsed="false">
      <c r="A68" s="5" t="s">
        <v>12</v>
      </c>
      <c r="B68" s="6"/>
      <c r="C68" s="6"/>
      <c r="D68" s="6"/>
    </row>
    <row r="69" customFormat="false" ht="15" hidden="false" customHeight="false" outlineLevel="0" collapsed="false">
      <c r="A69" s="7" t="s">
        <v>171</v>
      </c>
      <c r="B69" s="27" t="n">
        <v>60000</v>
      </c>
      <c r="C69" s="3" t="s">
        <v>172</v>
      </c>
      <c r="D69" s="3" t="s">
        <v>173</v>
      </c>
    </row>
    <row r="70" customFormat="false" ht="15" hidden="false" customHeight="false" outlineLevel="0" collapsed="false">
      <c r="A70" s="7" t="s">
        <v>174</v>
      </c>
      <c r="B70" s="15" t="n">
        <v>3</v>
      </c>
      <c r="C70" s="3" t="s">
        <v>175</v>
      </c>
      <c r="D70" s="3" t="s">
        <v>176</v>
      </c>
    </row>
    <row r="71" customFormat="false" ht="15" hidden="false" customHeight="false" outlineLevel="0" collapsed="false">
      <c r="A71" s="7" t="s">
        <v>177</v>
      </c>
      <c r="B71" s="26" t="n">
        <v>7</v>
      </c>
      <c r="C71" s="3" t="s">
        <v>178</v>
      </c>
      <c r="D71" s="3" t="s">
        <v>179</v>
      </c>
    </row>
    <row r="72" customFormat="false" ht="15" hidden="false" customHeight="false" outlineLevel="0" collapsed="false">
      <c r="A72" s="7" t="s">
        <v>180</v>
      </c>
      <c r="B72" s="19" t="n">
        <v>16</v>
      </c>
      <c r="C72" s="3" t="s">
        <v>70</v>
      </c>
      <c r="D72" s="3" t="s">
        <v>181</v>
      </c>
    </row>
    <row r="73" customFormat="false" ht="15" hidden="false" customHeight="false" outlineLevel="0" collapsed="false">
      <c r="A73" s="7" t="s">
        <v>182</v>
      </c>
      <c r="B73" s="24" t="n">
        <v>0.11</v>
      </c>
      <c r="C73" s="3"/>
      <c r="D73" s="3" t="s">
        <v>183</v>
      </c>
    </row>
    <row r="74" customFormat="false" ht="15" hidden="false" customHeight="false" outlineLevel="0" collapsed="false">
      <c r="A74" s="7" t="s">
        <v>184</v>
      </c>
      <c r="B74" s="15" t="n">
        <v>1</v>
      </c>
      <c r="C74" s="3" t="s">
        <v>175</v>
      </c>
      <c r="D74" s="3" t="s">
        <v>185</v>
      </c>
    </row>
    <row r="75" customFormat="false" ht="15" hidden="false" customHeight="false" outlineLevel="0" collapsed="false">
      <c r="A75" s="7" t="s">
        <v>186</v>
      </c>
      <c r="B75" s="26" t="n">
        <v>5</v>
      </c>
      <c r="C75" s="3" t="s">
        <v>178</v>
      </c>
      <c r="D75" s="3" t="s">
        <v>187</v>
      </c>
    </row>
    <row r="76" customFormat="false" ht="15" hidden="false" customHeight="false" outlineLevel="0" collapsed="false">
      <c r="A76" s="7" t="s">
        <v>188</v>
      </c>
      <c r="B76" s="20" t="n">
        <v>1.5</v>
      </c>
      <c r="C76" s="3" t="s">
        <v>178</v>
      </c>
      <c r="D76" s="3" t="s">
        <v>189</v>
      </c>
    </row>
    <row r="77" customFormat="false" ht="15" hidden="false" customHeight="false" outlineLevel="0" collapsed="false">
      <c r="A77" s="7" t="s">
        <v>190</v>
      </c>
      <c r="B77" s="15" t="n">
        <v>1</v>
      </c>
      <c r="C77" s="3"/>
      <c r="D77" s="3" t="s">
        <v>191</v>
      </c>
    </row>
    <row r="78" customFormat="false" ht="15" hidden="false" customHeight="false" outlineLevel="0" collapsed="false">
      <c r="A78" s="5" t="s">
        <v>192</v>
      </c>
      <c r="B78" s="6"/>
      <c r="C78" s="6"/>
      <c r="D78" s="6"/>
    </row>
    <row r="79" customFormat="false" ht="15" hidden="false" customHeight="false" outlineLevel="0" collapsed="false">
      <c r="A79" s="7" t="s">
        <v>193</v>
      </c>
      <c r="B79" s="17" t="n">
        <v>0.3</v>
      </c>
      <c r="C79" s="3"/>
      <c r="D79" s="3" t="s">
        <v>194</v>
      </c>
    </row>
    <row r="80" customFormat="false" ht="15" hidden="false" customHeight="false" outlineLevel="0" collapsed="false">
      <c r="A80" s="7" t="s">
        <v>195</v>
      </c>
      <c r="B80" s="17" t="n">
        <v>1</v>
      </c>
      <c r="C80" s="3"/>
      <c r="D80" s="3" t="s">
        <v>196</v>
      </c>
    </row>
    <row r="81" customFormat="false" ht="15" hidden="false" customHeight="false" outlineLevel="0" collapsed="false">
      <c r="A81" s="7" t="s">
        <v>197</v>
      </c>
      <c r="B81" s="17" t="n">
        <v>0.03</v>
      </c>
      <c r="C81" s="3"/>
      <c r="D81" s="3" t="s">
        <v>198</v>
      </c>
    </row>
    <row r="82" customFormat="false" ht="15" hidden="false" customHeight="false" outlineLevel="0" collapsed="false">
      <c r="A82" s="7" t="s">
        <v>199</v>
      </c>
      <c r="B82" s="15" t="n">
        <v>2</v>
      </c>
      <c r="C82" s="3"/>
      <c r="D82" s="3" t="s">
        <v>200</v>
      </c>
    </row>
    <row r="83" customFormat="false" ht="15" hidden="false" customHeight="false" outlineLevel="0" collapsed="false">
      <c r="A83" s="5" t="s">
        <v>201</v>
      </c>
      <c r="B83" s="6"/>
      <c r="C83" s="6"/>
      <c r="D83" s="6"/>
    </row>
    <row r="84" customFormat="false" ht="15" hidden="false" customHeight="false" outlineLevel="0" collapsed="false">
      <c r="A84" s="7" t="s">
        <v>202</v>
      </c>
      <c r="B84" s="27" t="n">
        <v>6000</v>
      </c>
      <c r="C84" s="3" t="s">
        <v>88</v>
      </c>
      <c r="D84" s="3" t="s">
        <v>203</v>
      </c>
    </row>
    <row r="85" customFormat="false" ht="15" hidden="false" customHeight="false" outlineLevel="0" collapsed="false">
      <c r="A85" s="7" t="s">
        <v>204</v>
      </c>
      <c r="B85" s="27" t="n">
        <v>1500</v>
      </c>
      <c r="C85" s="3" t="s">
        <v>88</v>
      </c>
      <c r="D85" s="3" t="s">
        <v>205</v>
      </c>
    </row>
    <row r="86" customFormat="false" ht="15" hidden="false" customHeight="false" outlineLevel="0" collapsed="false">
      <c r="A86" s="7" t="s">
        <v>206</v>
      </c>
      <c r="B86" s="21" t="n">
        <v>1800</v>
      </c>
      <c r="C86" s="3" t="s">
        <v>88</v>
      </c>
      <c r="D86" s="3" t="s">
        <v>207</v>
      </c>
    </row>
    <row r="87" customFormat="false" ht="15" hidden="false" customHeight="false" outlineLevel="0" collapsed="false">
      <c r="A87" s="7" t="s">
        <v>208</v>
      </c>
      <c r="B87" s="21" t="n">
        <v>650</v>
      </c>
      <c r="C87" s="3" t="s">
        <v>88</v>
      </c>
      <c r="D87" s="3" t="s">
        <v>80</v>
      </c>
    </row>
    <row r="88" customFormat="false" ht="15" hidden="false" customHeight="false" outlineLevel="0" collapsed="false">
      <c r="A88" s="7" t="s">
        <v>209</v>
      </c>
      <c r="B88" s="21" t="n">
        <v>150</v>
      </c>
      <c r="C88" s="3" t="s">
        <v>88</v>
      </c>
      <c r="D88" s="3" t="s">
        <v>80</v>
      </c>
    </row>
    <row r="89" customFormat="false" ht="15" hidden="false" customHeight="false" outlineLevel="0" collapsed="false">
      <c r="A89" s="7" t="s">
        <v>210</v>
      </c>
      <c r="B89" s="21" t="n">
        <v>200</v>
      </c>
      <c r="C89" s="3" t="s">
        <v>88</v>
      </c>
      <c r="D89" s="3" t="s">
        <v>80</v>
      </c>
    </row>
    <row r="90" customFormat="false" ht="15" hidden="false" customHeight="false" outlineLevel="0" collapsed="false">
      <c r="A90" s="7" t="s">
        <v>211</v>
      </c>
      <c r="B90" s="21" t="n">
        <v>650</v>
      </c>
      <c r="C90" s="3" t="s">
        <v>88</v>
      </c>
      <c r="D90" s="3" t="s">
        <v>212</v>
      </c>
    </row>
    <row r="91" customFormat="false" ht="15" hidden="false" customHeight="false" outlineLevel="0" collapsed="false">
      <c r="A91" s="7" t="s">
        <v>213</v>
      </c>
      <c r="B91" s="21" t="n">
        <v>100</v>
      </c>
      <c r="C91" s="3" t="s">
        <v>88</v>
      </c>
      <c r="D91" s="3" t="s">
        <v>80</v>
      </c>
    </row>
    <row r="92" customFormat="false" ht="15" hidden="false" customHeight="false" outlineLevel="0" collapsed="false">
      <c r="A92" s="7" t="s">
        <v>214</v>
      </c>
      <c r="B92" s="21" t="n">
        <v>350</v>
      </c>
      <c r="C92" s="3" t="s">
        <v>88</v>
      </c>
      <c r="D92" s="3" t="s">
        <v>80</v>
      </c>
    </row>
    <row r="93" customFormat="false" ht="15" hidden="false" customHeight="false" outlineLevel="0" collapsed="false">
      <c r="A93" s="7" t="s">
        <v>215</v>
      </c>
      <c r="B93" s="21" t="n">
        <v>500</v>
      </c>
      <c r="C93" s="3" t="s">
        <v>88</v>
      </c>
      <c r="D93" s="3" t="s">
        <v>80</v>
      </c>
    </row>
    <row r="94" customFormat="false" ht="15" hidden="false" customHeight="false" outlineLevel="0" collapsed="false">
      <c r="A94" s="7" t="s">
        <v>216</v>
      </c>
      <c r="B94" s="21" t="n">
        <v>500</v>
      </c>
      <c r="C94" s="3" t="s">
        <v>88</v>
      </c>
      <c r="D94" s="3" t="s">
        <v>80</v>
      </c>
    </row>
    <row r="95" customFormat="false" ht="15" hidden="false" customHeight="false" outlineLevel="0" collapsed="false">
      <c r="A95" s="7" t="s">
        <v>217</v>
      </c>
      <c r="B95" s="21" t="n">
        <v>100</v>
      </c>
      <c r="C95" s="3" t="s">
        <v>88</v>
      </c>
      <c r="D95" s="3" t="s">
        <v>218</v>
      </c>
    </row>
    <row r="96" customFormat="false" ht="15" hidden="false" customHeight="false" outlineLevel="0" collapsed="false">
      <c r="A96" s="5" t="s">
        <v>219</v>
      </c>
      <c r="B96" s="6"/>
      <c r="C96" s="6"/>
      <c r="D96" s="6"/>
    </row>
    <row r="97" customFormat="false" ht="15" hidden="false" customHeight="false" outlineLevel="0" collapsed="false">
      <c r="A97" s="7" t="s">
        <v>220</v>
      </c>
      <c r="B97" s="24" t="n">
        <v>0.029</v>
      </c>
      <c r="C97" s="3"/>
      <c r="D97" s="3" t="s">
        <v>221</v>
      </c>
    </row>
    <row r="98" customFormat="false" ht="15" hidden="false" customHeight="false" outlineLevel="0" collapsed="false">
      <c r="A98" s="7" t="s">
        <v>222</v>
      </c>
      <c r="B98" s="24" t="n">
        <v>0.02</v>
      </c>
      <c r="C98" s="3"/>
      <c r="D98" s="3" t="s">
        <v>80</v>
      </c>
    </row>
    <row r="99" customFormat="false" ht="15" hidden="false" customHeight="false" outlineLevel="0" collapsed="false">
      <c r="A99" s="7" t="s">
        <v>223</v>
      </c>
      <c r="B99" s="24" t="n">
        <v>0.03</v>
      </c>
      <c r="C99" s="3"/>
      <c r="D99" s="3"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2"/>
    <col collapsed="false" customWidth="true" hidden="false" outlineLevel="0" max="8" min="8" style="0" width="13"/>
    <col collapsed="false" customWidth="true" hidden="false" outlineLevel="0" max="9" min="9" style="0" width="10"/>
    <col collapsed="false" customWidth="true" hidden="false" outlineLevel="0" max="11" min="10" style="0" width="13"/>
  </cols>
  <sheetData>
    <row r="1" customFormat="false" ht="17.35" hidden="false" customHeight="false" outlineLevel="0" collapsed="false">
      <c r="A1" s="1" t="s">
        <v>224</v>
      </c>
      <c r="B1" s="2"/>
      <c r="C1" s="2"/>
      <c r="D1" s="2"/>
      <c r="E1" s="2"/>
      <c r="F1" s="2"/>
      <c r="G1" s="2"/>
      <c r="H1" s="2"/>
      <c r="I1" s="2"/>
      <c r="J1" s="2"/>
      <c r="K1" s="2"/>
    </row>
    <row r="2" customFormat="false" ht="15" hidden="false" customHeight="false" outlineLevel="0" collapsed="false">
      <c r="A2" s="3" t="s">
        <v>225</v>
      </c>
    </row>
    <row r="4" customFormat="false" ht="42" hidden="false" customHeight="true" outlineLevel="0" collapsed="false">
      <c r="A4" s="4" t="s">
        <v>226</v>
      </c>
      <c r="B4" s="4" t="s">
        <v>227</v>
      </c>
      <c r="C4" s="4" t="s">
        <v>228</v>
      </c>
      <c r="D4" s="4" t="s">
        <v>229</v>
      </c>
      <c r="E4" s="4" t="s">
        <v>230</v>
      </c>
      <c r="F4" s="4" t="s">
        <v>231</v>
      </c>
      <c r="G4" s="4" t="s">
        <v>232</v>
      </c>
      <c r="H4" s="4" t="s">
        <v>233</v>
      </c>
      <c r="I4" s="4" t="s">
        <v>234</v>
      </c>
      <c r="J4" s="4" t="s">
        <v>235</v>
      </c>
      <c r="K4" s="4" t="s">
        <v>236</v>
      </c>
    </row>
    <row r="5" customFormat="false" ht="15" hidden="false" customHeight="false" outlineLevel="0" collapsed="false">
      <c r="A5" s="7" t="s">
        <v>237</v>
      </c>
      <c r="B5" s="7" t="s">
        <v>238</v>
      </c>
      <c r="C5" s="22" t="n">
        <f aca="false">Assumptions!$B$25</f>
        <v>4.92</v>
      </c>
      <c r="D5" s="22" t="n">
        <f aca="false">Assumptions!$B$31</f>
        <v>5.72</v>
      </c>
      <c r="E5" s="28" t="n">
        <f aca="false">1/Assumptions!$B$39</f>
        <v>2</v>
      </c>
      <c r="F5" s="29" t="n">
        <f aca="false">D5*E5</f>
        <v>11.44</v>
      </c>
      <c r="G5" s="29" t="n">
        <f aca="false">E5*Assumptions!$B$23</f>
        <v>2.42419672949694</v>
      </c>
      <c r="H5" s="29" t="n">
        <f aca="false">F5+G5</f>
        <v>13.8641967294969</v>
      </c>
      <c r="I5" s="9" t="n">
        <f aca="false">Assumptions!$B$12</f>
        <v>0.25</v>
      </c>
      <c r="J5" s="30" t="n">
        <f aca="false">H5*(1+I5)</f>
        <v>17.3302459118712</v>
      </c>
      <c r="K5" s="29" t="n">
        <f aca="false">J5-H5</f>
        <v>3.46604918237424</v>
      </c>
    </row>
    <row r="6" customFormat="false" ht="15" hidden="false" customHeight="false" outlineLevel="0" collapsed="false">
      <c r="A6" s="7" t="s">
        <v>239</v>
      </c>
      <c r="B6" s="7" t="s">
        <v>238</v>
      </c>
      <c r="C6" s="22" t="n">
        <f aca="false">Assumptions!$B$26</f>
        <v>1.23</v>
      </c>
      <c r="D6" s="22" t="n">
        <f aca="false">Assumptions!$B$32</f>
        <v>2.07</v>
      </c>
      <c r="E6" s="28" t="n">
        <f aca="false">1/Assumptions!$B$40</f>
        <v>1.81818181818182</v>
      </c>
      <c r="F6" s="29" t="n">
        <f aca="false">D6*E6</f>
        <v>3.76363636363636</v>
      </c>
      <c r="G6" s="29" t="n">
        <f aca="false">E6*Assumptions!$B$23</f>
        <v>2.20381520863358</v>
      </c>
      <c r="H6" s="29" t="n">
        <f aca="false">F6+G6</f>
        <v>5.96745157226995</v>
      </c>
      <c r="I6" s="9" t="n">
        <f aca="false">Assumptions!$B$12</f>
        <v>0.25</v>
      </c>
      <c r="J6" s="30" t="n">
        <f aca="false">H6*(1+I6)</f>
        <v>7.45931446533743</v>
      </c>
      <c r="K6" s="29" t="n">
        <f aca="false">J6-H6</f>
        <v>1.49186289306749</v>
      </c>
    </row>
    <row r="7" customFormat="false" ht="15" hidden="false" customHeight="false" outlineLevel="0" collapsed="false">
      <c r="A7" s="7" t="s">
        <v>240</v>
      </c>
      <c r="B7" s="7" t="s">
        <v>238</v>
      </c>
      <c r="C7" s="22" t="n">
        <f aca="false">Assumptions!$B$28</f>
        <v>2.38</v>
      </c>
      <c r="D7" s="22" t="n">
        <f aca="false">Assumptions!$B$34</f>
        <v>4.21</v>
      </c>
      <c r="E7" s="28" t="n">
        <f aca="false">1/Assumptions!$B$41</f>
        <v>1.66666666666667</v>
      </c>
      <c r="F7" s="29" t="n">
        <f aca="false">D7*E7</f>
        <v>7.01666666666667</v>
      </c>
      <c r="G7" s="29" t="n">
        <f aca="false">E7*Assumptions!$B$23</f>
        <v>2.02016394124745</v>
      </c>
      <c r="H7" s="29" t="n">
        <f aca="false">F7+G7</f>
        <v>9.03683060791412</v>
      </c>
      <c r="I7" s="9" t="n">
        <f aca="false">Assumptions!$B$12</f>
        <v>0.25</v>
      </c>
      <c r="J7" s="30" t="n">
        <f aca="false">H7*(1+I7)</f>
        <v>11.2960382598926</v>
      </c>
      <c r="K7" s="29" t="n">
        <f aca="false">J7-H7</f>
        <v>2.25920765197853</v>
      </c>
    </row>
    <row r="8" customFormat="false" ht="15" hidden="false" customHeight="false" outlineLevel="0" collapsed="false">
      <c r="A8" s="7" t="s">
        <v>241</v>
      </c>
      <c r="B8" s="7" t="s">
        <v>242</v>
      </c>
      <c r="C8" s="22" t="n">
        <f aca="false">Assumptions!$B$27</f>
        <v>1.69</v>
      </c>
      <c r="D8" s="22" t="n">
        <f aca="false">Assumptions!$B$33</f>
        <v>2.89</v>
      </c>
      <c r="E8" s="28" t="n">
        <f aca="false">Assumptions!$B$42</f>
        <v>3.5</v>
      </c>
      <c r="F8" s="29" t="n">
        <f aca="false">D8*E8</f>
        <v>10.115</v>
      </c>
      <c r="G8" s="29" t="n">
        <f aca="false">E8*Assumptions!$B$23</f>
        <v>4.24234427661965</v>
      </c>
      <c r="H8" s="29" t="n">
        <f aca="false">F8+G8</f>
        <v>14.3573442766197</v>
      </c>
      <c r="I8" s="9" t="n">
        <f aca="false">Assumptions!$B$12</f>
        <v>0.25</v>
      </c>
      <c r="J8" s="30" t="n">
        <f aca="false">H8*(1+I8)</f>
        <v>17.9466803457746</v>
      </c>
      <c r="K8" s="29" t="n">
        <f aca="false">J8-H8</f>
        <v>3.58933606915491</v>
      </c>
    </row>
    <row r="9" customFormat="false" ht="15" hidden="false" customHeight="false" outlineLevel="0" collapsed="false">
      <c r="A9" s="7" t="s">
        <v>243</v>
      </c>
      <c r="B9" s="7" t="s">
        <v>244</v>
      </c>
      <c r="C9" s="22" t="n">
        <f aca="false">Assumptions!$B$29</f>
        <v>0.529</v>
      </c>
      <c r="D9" s="22" t="n">
        <f aca="false">Assumptions!$B$35</f>
        <v>0.81</v>
      </c>
      <c r="E9" s="28" t="n">
        <f aca="false">Assumptions!$B$44</f>
        <v>0.75</v>
      </c>
      <c r="F9" s="29" t="n">
        <f aca="false">D9*E9</f>
        <v>0.6075</v>
      </c>
      <c r="G9" s="29" t="n">
        <v>0</v>
      </c>
      <c r="H9" s="29" t="n">
        <f aca="false">F9+G9</f>
        <v>0.6075</v>
      </c>
      <c r="I9" s="9" t="n">
        <f aca="false">Assumptions!$B$12</f>
        <v>0.25</v>
      </c>
      <c r="J9" s="30" t="n">
        <f aca="false">H9*(1+I9)</f>
        <v>0.759375</v>
      </c>
      <c r="K9" s="29" t="n">
        <f aca="false">J9-H9</f>
        <v>0.151875</v>
      </c>
      <c r="L9" s="3" t="s">
        <v>245</v>
      </c>
    </row>
    <row r="10" customFormat="false" ht="15" hidden="false" customHeight="false" outlineLevel="0" collapsed="false">
      <c r="A10" s="7" t="s">
        <v>246</v>
      </c>
      <c r="B10" s="7" t="s">
        <v>247</v>
      </c>
      <c r="C10" s="7" t="s">
        <v>248</v>
      </c>
      <c r="D10" s="22" t="n">
        <f aca="false">Assumptions!$B$36</f>
        <v>5.89</v>
      </c>
      <c r="E10" s="28" t="n">
        <f aca="false">1/Assumptions!$B$45</f>
        <v>0.25</v>
      </c>
      <c r="F10" s="29" t="n">
        <f aca="false">D10*E10</f>
        <v>1.4725</v>
      </c>
      <c r="G10" s="29" t="n">
        <f aca="false">E10*Assumptions!$B$23</f>
        <v>0.303024591187118</v>
      </c>
      <c r="H10" s="29" t="n">
        <f aca="false">F10+G10</f>
        <v>1.77552459118712</v>
      </c>
      <c r="I10" s="9" t="n">
        <f aca="false">Assumptions!$B$12</f>
        <v>0.25</v>
      </c>
      <c r="J10" s="30" t="n">
        <f aca="false">H10*(1+I10)</f>
        <v>2.2194057389839</v>
      </c>
      <c r="K10" s="29" t="n">
        <f aca="false">J10-H10</f>
        <v>0.443881147796779</v>
      </c>
    </row>
    <row r="12" customFormat="false" ht="15" hidden="false" customHeight="false" outlineLevel="0" collapsed="false">
      <c r="A12" s="7" t="s">
        <v>249</v>
      </c>
      <c r="B12" s="7" t="s">
        <v>250</v>
      </c>
      <c r="H12" s="29" t="n">
        <f aca="false">H8/Assumptions!$B$43</f>
        <v>1.19644535638497</v>
      </c>
      <c r="J12" s="30" t="n">
        <f aca="false">J8/Assumptions!$B$43</f>
        <v>1.49555669548121</v>
      </c>
      <c r="K12" s="29" t="n">
        <f aca="false">J12-H12</f>
        <v>0.299111339096243</v>
      </c>
    </row>
    <row r="14" customFormat="false" ht="15" hidden="false" customHeight="false" outlineLevel="0" collapsed="false">
      <c r="A14" s="3" t="s">
        <v>251</v>
      </c>
    </row>
    <row r="15" customFormat="false" ht="15" hidden="false" customHeight="false" outlineLevel="0" collapsed="false">
      <c r="A15" s="3"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0"/>
    <col collapsed="false" customWidth="true" hidden="false" outlineLevel="0" max="5" min="4" style="0" width="12"/>
    <col collapsed="false" customWidth="true" hidden="false" outlineLevel="0" max="6" min="6" style="0" width="14"/>
    <col collapsed="false" customWidth="true" hidden="false" outlineLevel="0" max="7" min="7" style="0" width="40"/>
  </cols>
  <sheetData>
    <row r="1" customFormat="false" ht="17.35" hidden="false" customHeight="false" outlineLevel="0" collapsed="false">
      <c r="A1" s="1" t="s">
        <v>253</v>
      </c>
      <c r="B1" s="2"/>
      <c r="C1" s="2"/>
      <c r="D1" s="2"/>
      <c r="E1" s="2"/>
      <c r="F1" s="2"/>
      <c r="G1" s="2"/>
    </row>
    <row r="2" customFormat="false" ht="15" hidden="false" customHeight="false" outlineLevel="0" collapsed="false">
      <c r="A2" s="3" t="s">
        <v>254</v>
      </c>
    </row>
    <row r="4" customFormat="false" ht="15" hidden="false" customHeight="false" outlineLevel="0" collapsed="false">
      <c r="A4" s="5" t="s">
        <v>255</v>
      </c>
      <c r="B4" s="6"/>
      <c r="C4" s="6"/>
      <c r="D4" s="6"/>
      <c r="E4" s="6"/>
      <c r="F4" s="6"/>
      <c r="G4" s="6"/>
    </row>
    <row r="5" customFormat="false" ht="26.85" hidden="false" customHeight="false" outlineLevel="0" collapsed="false">
      <c r="A5" s="4" t="s">
        <v>256</v>
      </c>
      <c r="B5" s="4" t="s">
        <v>257</v>
      </c>
      <c r="C5" s="4" t="s">
        <v>258</v>
      </c>
      <c r="D5" s="4" t="s">
        <v>259</v>
      </c>
      <c r="E5" s="4" t="s">
        <v>260</v>
      </c>
      <c r="F5" s="4" t="s">
        <v>261</v>
      </c>
      <c r="G5" s="4" t="s">
        <v>262</v>
      </c>
    </row>
    <row r="6" customFormat="false" ht="15" hidden="false" customHeight="false" outlineLevel="0" collapsed="false">
      <c r="A6" s="7" t="s">
        <v>263</v>
      </c>
      <c r="B6" s="16" t="n">
        <v>1</v>
      </c>
      <c r="C6" s="7" t="s">
        <v>264</v>
      </c>
      <c r="D6" s="23" t="n">
        <v>7.8533</v>
      </c>
      <c r="E6" s="29" t="n">
        <f aca="false">B6*D6</f>
        <v>7.8533</v>
      </c>
      <c r="F6" s="7" t="s">
        <v>265</v>
      </c>
      <c r="G6" s="3" t="s">
        <v>266</v>
      </c>
    </row>
    <row r="7" customFormat="false" ht="15" hidden="false" customHeight="false" outlineLevel="0" collapsed="false">
      <c r="A7" s="7" t="s">
        <v>267</v>
      </c>
      <c r="B7" s="16" t="n">
        <v>2</v>
      </c>
      <c r="C7" s="7" t="s">
        <v>128</v>
      </c>
      <c r="D7" s="23" t="n">
        <v>1.3372</v>
      </c>
      <c r="E7" s="29" t="n">
        <f aca="false">B7*D7</f>
        <v>2.6744</v>
      </c>
      <c r="F7" s="7" t="s">
        <v>268</v>
      </c>
      <c r="G7" s="3" t="s">
        <v>269</v>
      </c>
    </row>
    <row r="8" customFormat="false" ht="15" hidden="false" customHeight="false" outlineLevel="0" collapsed="false">
      <c r="A8" s="7" t="s">
        <v>270</v>
      </c>
      <c r="B8" s="16" t="n">
        <v>16</v>
      </c>
      <c r="C8" s="7" t="s">
        <v>271</v>
      </c>
      <c r="D8" s="23" t="n">
        <v>0.0403</v>
      </c>
      <c r="E8" s="29" t="n">
        <f aca="false">B8*D8</f>
        <v>0.6448</v>
      </c>
      <c r="F8" s="7" t="s">
        <v>272</v>
      </c>
      <c r="G8" s="3" t="s">
        <v>273</v>
      </c>
    </row>
    <row r="9" customFormat="false" ht="15" hidden="false" customHeight="false" outlineLevel="0" collapsed="false">
      <c r="A9" s="7" t="s">
        <v>274</v>
      </c>
      <c r="B9" s="16" t="n">
        <v>8</v>
      </c>
      <c r="C9" s="7" t="s">
        <v>271</v>
      </c>
      <c r="D9" s="18" t="n">
        <v>0.12</v>
      </c>
      <c r="E9" s="29" t="n">
        <f aca="false">B9*D9</f>
        <v>0.96</v>
      </c>
      <c r="F9" s="7" t="s">
        <v>272</v>
      </c>
      <c r="G9" s="3" t="s">
        <v>275</v>
      </c>
    </row>
    <row r="10" customFormat="false" ht="15" hidden="false" customHeight="false" outlineLevel="0" collapsed="false">
      <c r="A10" s="7" t="s">
        <v>276</v>
      </c>
      <c r="B10" s="16" t="n">
        <v>1</v>
      </c>
      <c r="C10" s="7" t="s">
        <v>277</v>
      </c>
      <c r="D10" s="18" t="n">
        <v>2</v>
      </c>
      <c r="E10" s="29" t="n">
        <f aca="false">B10*D10</f>
        <v>2</v>
      </c>
      <c r="F10" s="7" t="s">
        <v>278</v>
      </c>
      <c r="G10" s="3" t="s">
        <v>275</v>
      </c>
    </row>
    <row r="11" customFormat="false" ht="15" hidden="false" customHeight="false" outlineLevel="0" collapsed="false">
      <c r="A11" s="31" t="s">
        <v>260</v>
      </c>
      <c r="E11" s="30" t="n">
        <f aca="false">SUM(E6:E10)</f>
        <v>14.1325</v>
      </c>
    </row>
    <row r="12" customFormat="false" ht="15" hidden="false" customHeight="false" outlineLevel="0" collapsed="false">
      <c r="A12" s="7" t="s">
        <v>279</v>
      </c>
      <c r="E12" s="26" t="n">
        <v>128</v>
      </c>
    </row>
    <row r="13" customFormat="false" ht="15" hidden="false" customHeight="false" outlineLevel="0" collapsed="false">
      <c r="A13" s="31" t="s">
        <v>280</v>
      </c>
      <c r="E13" s="32" t="n">
        <f aca="false">E11/E12</f>
        <v>0.11041015625</v>
      </c>
    </row>
    <row r="15" customFormat="false" ht="15" hidden="false" customHeight="false" outlineLevel="0" collapsed="false">
      <c r="A15" s="5" t="s">
        <v>281</v>
      </c>
      <c r="B15" s="6"/>
      <c r="C15" s="6"/>
      <c r="D15" s="6"/>
      <c r="E15" s="6"/>
      <c r="F15" s="6"/>
      <c r="G15" s="6"/>
    </row>
    <row r="16" customFormat="false" ht="26.85" hidden="false" customHeight="false" outlineLevel="0" collapsed="false">
      <c r="A16" s="4" t="s">
        <v>256</v>
      </c>
      <c r="B16" s="4" t="s">
        <v>257</v>
      </c>
      <c r="C16" s="4" t="s">
        <v>258</v>
      </c>
      <c r="D16" s="4" t="s">
        <v>259</v>
      </c>
      <c r="E16" s="4" t="s">
        <v>260</v>
      </c>
      <c r="F16" s="4" t="s">
        <v>261</v>
      </c>
      <c r="G16" s="4" t="s">
        <v>262</v>
      </c>
    </row>
    <row r="17" customFormat="false" ht="15" hidden="false" customHeight="false" outlineLevel="0" collapsed="false">
      <c r="A17" s="7" t="s">
        <v>282</v>
      </c>
      <c r="B17" s="16" t="n">
        <v>4</v>
      </c>
      <c r="C17" s="7" t="s">
        <v>128</v>
      </c>
      <c r="D17" s="23" t="n">
        <v>1.796</v>
      </c>
      <c r="E17" s="29" t="n">
        <f aca="false">B17*D17</f>
        <v>7.184</v>
      </c>
      <c r="F17" s="7" t="s">
        <v>283</v>
      </c>
      <c r="G17" s="3" t="s">
        <v>284</v>
      </c>
    </row>
    <row r="18" customFormat="false" ht="15" hidden="false" customHeight="false" outlineLevel="0" collapsed="false">
      <c r="A18" s="7" t="s">
        <v>285</v>
      </c>
      <c r="B18" s="16" t="n">
        <v>3</v>
      </c>
      <c r="C18" s="7" t="s">
        <v>128</v>
      </c>
      <c r="D18" s="23" t="n">
        <v>5.59</v>
      </c>
      <c r="E18" s="29" t="n">
        <f aca="false">B18*D18</f>
        <v>16.77</v>
      </c>
      <c r="F18" s="7" t="s">
        <v>286</v>
      </c>
      <c r="G18" s="3" t="s">
        <v>287</v>
      </c>
    </row>
    <row r="19" customFormat="false" ht="15" hidden="false" customHeight="false" outlineLevel="0" collapsed="false">
      <c r="A19" s="7" t="s">
        <v>288</v>
      </c>
      <c r="B19" s="16" t="n">
        <v>3</v>
      </c>
      <c r="C19" s="7" t="s">
        <v>128</v>
      </c>
      <c r="D19" s="23" t="n">
        <v>5.27</v>
      </c>
      <c r="E19" s="29" t="n">
        <f aca="false">B19*D19</f>
        <v>15.81</v>
      </c>
      <c r="F19" s="7" t="s">
        <v>289</v>
      </c>
      <c r="G19" s="3" t="s">
        <v>290</v>
      </c>
    </row>
    <row r="20" customFormat="false" ht="15" hidden="false" customHeight="false" outlineLevel="0" collapsed="false">
      <c r="A20" s="7" t="s">
        <v>291</v>
      </c>
      <c r="B20" s="16" t="n">
        <v>1</v>
      </c>
      <c r="C20" s="7" t="s">
        <v>292</v>
      </c>
      <c r="D20" s="23" t="n">
        <v>6.6025</v>
      </c>
      <c r="E20" s="29" t="n">
        <f aca="false">B20*D20</f>
        <v>6.6025</v>
      </c>
      <c r="F20" s="7" t="s">
        <v>272</v>
      </c>
      <c r="G20" s="3" t="s">
        <v>293</v>
      </c>
    </row>
    <row r="21" customFormat="false" ht="15" hidden="false" customHeight="false" outlineLevel="0" collapsed="false">
      <c r="A21" s="7" t="s">
        <v>294</v>
      </c>
      <c r="B21" s="16" t="n">
        <v>2</v>
      </c>
      <c r="C21" s="7" t="s">
        <v>295</v>
      </c>
      <c r="D21" s="23" t="n">
        <v>4.6308</v>
      </c>
      <c r="E21" s="29" t="n">
        <f aca="false">B21*D21</f>
        <v>9.2616</v>
      </c>
      <c r="F21" s="7" t="s">
        <v>296</v>
      </c>
      <c r="G21" s="3" t="s">
        <v>297</v>
      </c>
    </row>
    <row r="22" customFormat="false" ht="15" hidden="false" customHeight="false" outlineLevel="0" collapsed="false">
      <c r="A22" s="7" t="s">
        <v>298</v>
      </c>
      <c r="B22" s="16" t="n">
        <v>1</v>
      </c>
      <c r="C22" s="7" t="s">
        <v>128</v>
      </c>
      <c r="D22" s="23" t="n">
        <v>2.3339</v>
      </c>
      <c r="E22" s="29" t="n">
        <f aca="false">B22*D22</f>
        <v>2.3339</v>
      </c>
      <c r="F22" s="7" t="s">
        <v>299</v>
      </c>
      <c r="G22" s="3" t="s">
        <v>300</v>
      </c>
    </row>
    <row r="23" customFormat="false" ht="15" hidden="false" customHeight="false" outlineLevel="0" collapsed="false">
      <c r="A23" s="7" t="s">
        <v>301</v>
      </c>
      <c r="B23" s="16" t="n">
        <v>1</v>
      </c>
      <c r="C23" s="7" t="s">
        <v>277</v>
      </c>
      <c r="D23" s="18" t="n">
        <v>1.5</v>
      </c>
      <c r="E23" s="29" t="n">
        <f aca="false">B23*D23</f>
        <v>1.5</v>
      </c>
      <c r="F23" s="7"/>
      <c r="G23" s="3" t="s">
        <v>275</v>
      </c>
    </row>
    <row r="24" customFormat="false" ht="15" hidden="false" customHeight="false" outlineLevel="0" collapsed="false">
      <c r="A24" s="31" t="s">
        <v>260</v>
      </c>
      <c r="E24" s="30" t="n">
        <f aca="false">SUM(E17:E23)</f>
        <v>59.462</v>
      </c>
    </row>
    <row r="25" customFormat="false" ht="15" hidden="false" customHeight="false" outlineLevel="0" collapsed="false">
      <c r="A25" s="7" t="s">
        <v>279</v>
      </c>
      <c r="E25" s="26" t="n">
        <v>256</v>
      </c>
    </row>
    <row r="26" customFormat="false" ht="15" hidden="false" customHeight="false" outlineLevel="0" collapsed="false">
      <c r="A26" s="31" t="s">
        <v>280</v>
      </c>
      <c r="E26" s="32" t="n">
        <f aca="false">E24/E25</f>
        <v>0.2322734375</v>
      </c>
    </row>
    <row r="28" customFormat="false" ht="15" hidden="false" customHeight="false" outlineLevel="0" collapsed="false">
      <c r="A28" s="5" t="s">
        <v>302</v>
      </c>
      <c r="B28" s="6"/>
      <c r="C28" s="6"/>
      <c r="D28" s="6"/>
      <c r="E28" s="6"/>
      <c r="F28" s="6"/>
      <c r="G28" s="6"/>
    </row>
    <row r="29" customFormat="false" ht="26.85" hidden="false" customHeight="false" outlineLevel="0" collapsed="false">
      <c r="A29" s="4" t="s">
        <v>256</v>
      </c>
      <c r="B29" s="4" t="s">
        <v>257</v>
      </c>
      <c r="C29" s="4" t="s">
        <v>258</v>
      </c>
      <c r="D29" s="4" t="s">
        <v>259</v>
      </c>
      <c r="E29" s="4" t="s">
        <v>260</v>
      </c>
      <c r="F29" s="4" t="s">
        <v>261</v>
      </c>
      <c r="G29" s="4" t="s">
        <v>262</v>
      </c>
    </row>
    <row r="30" customFormat="false" ht="15" hidden="false" customHeight="false" outlineLevel="0" collapsed="false">
      <c r="A30" s="7" t="s">
        <v>303</v>
      </c>
      <c r="B30" s="16" t="n">
        <v>3</v>
      </c>
      <c r="C30" s="7" t="s">
        <v>264</v>
      </c>
      <c r="D30" s="23" t="n">
        <v>7.6883</v>
      </c>
      <c r="E30" s="29" t="n">
        <f aca="false">B30*D30</f>
        <v>23.0649</v>
      </c>
      <c r="F30" s="7" t="s">
        <v>265</v>
      </c>
      <c r="G30" s="3" t="s">
        <v>304</v>
      </c>
    </row>
    <row r="31" customFormat="false" ht="15" hidden="false" customHeight="false" outlineLevel="0" collapsed="false">
      <c r="A31" s="7" t="s">
        <v>305</v>
      </c>
      <c r="B31" s="16" t="n">
        <v>2</v>
      </c>
      <c r="C31" s="7" t="s">
        <v>128</v>
      </c>
      <c r="D31" s="18" t="n">
        <v>2</v>
      </c>
      <c r="E31" s="29" t="n">
        <f aca="false">B31*D31</f>
        <v>4</v>
      </c>
      <c r="F31" s="7" t="s">
        <v>306</v>
      </c>
      <c r="G31" s="3" t="s">
        <v>275</v>
      </c>
    </row>
    <row r="32" customFormat="false" ht="15" hidden="false" customHeight="false" outlineLevel="0" collapsed="false">
      <c r="A32" s="7" t="s">
        <v>307</v>
      </c>
      <c r="B32" s="16" t="n">
        <v>1</v>
      </c>
      <c r="C32" s="7" t="s">
        <v>128</v>
      </c>
      <c r="D32" s="18" t="n">
        <v>0.9</v>
      </c>
      <c r="E32" s="29" t="n">
        <f aca="false">B32*D32</f>
        <v>0.9</v>
      </c>
      <c r="F32" s="7" t="s">
        <v>308</v>
      </c>
      <c r="G32" s="3" t="s">
        <v>275</v>
      </c>
    </row>
    <row r="33" customFormat="false" ht="15" hidden="false" customHeight="false" outlineLevel="0" collapsed="false">
      <c r="A33" s="7" t="s">
        <v>309</v>
      </c>
      <c r="B33" s="16" t="n">
        <v>0.5</v>
      </c>
      <c r="C33" s="7" t="s">
        <v>128</v>
      </c>
      <c r="D33" s="18" t="n">
        <v>1.5</v>
      </c>
      <c r="E33" s="29" t="n">
        <f aca="false">B33*D33</f>
        <v>0.75</v>
      </c>
      <c r="F33" s="7" t="s">
        <v>310</v>
      </c>
      <c r="G33" s="3" t="s">
        <v>275</v>
      </c>
    </row>
    <row r="34" customFormat="false" ht="15" hidden="false" customHeight="false" outlineLevel="0" collapsed="false">
      <c r="A34" s="7" t="s">
        <v>311</v>
      </c>
      <c r="B34" s="16" t="n">
        <v>32</v>
      </c>
      <c r="C34" s="7" t="s">
        <v>271</v>
      </c>
      <c r="D34" s="22" t="n">
        <f aca="false">'Sides &amp; Ingredients'!$E$13</f>
        <v>0.11041015625</v>
      </c>
      <c r="E34" s="29" t="n">
        <f aca="false">B34*D34</f>
        <v>3.533125</v>
      </c>
      <c r="F34" s="7"/>
    </row>
    <row r="35" customFormat="false" ht="15" hidden="false" customHeight="false" outlineLevel="0" collapsed="false">
      <c r="A35" s="7" t="s">
        <v>267</v>
      </c>
      <c r="B35" s="16" t="n">
        <v>1</v>
      </c>
      <c r="C35" s="7" t="s">
        <v>128</v>
      </c>
      <c r="D35" s="23" t="n">
        <v>1.3372</v>
      </c>
      <c r="E35" s="29" t="n">
        <f aca="false">B35*D35</f>
        <v>1.3372</v>
      </c>
      <c r="F35" s="7" t="s">
        <v>268</v>
      </c>
      <c r="G35" s="3" t="s">
        <v>269</v>
      </c>
    </row>
    <row r="36" customFormat="false" ht="15" hidden="false" customHeight="false" outlineLevel="0" collapsed="false">
      <c r="A36" s="7" t="s">
        <v>312</v>
      </c>
      <c r="B36" s="16" t="n">
        <v>1</v>
      </c>
      <c r="C36" s="7" t="s">
        <v>277</v>
      </c>
      <c r="D36" s="18" t="n">
        <v>1</v>
      </c>
      <c r="E36" s="29" t="n">
        <f aca="false">B36*D36</f>
        <v>1</v>
      </c>
      <c r="F36" s="7"/>
      <c r="G36" s="3" t="s">
        <v>275</v>
      </c>
    </row>
    <row r="37" customFormat="false" ht="15" hidden="false" customHeight="false" outlineLevel="0" collapsed="false">
      <c r="A37" s="31" t="s">
        <v>260</v>
      </c>
      <c r="E37" s="30" t="n">
        <f aca="false">SUM(E30:E36)</f>
        <v>34.585225</v>
      </c>
    </row>
    <row r="38" customFormat="false" ht="15" hidden="false" customHeight="false" outlineLevel="0" collapsed="false">
      <c r="A38" s="7" t="s">
        <v>279</v>
      </c>
      <c r="E38" s="26" t="n">
        <v>340</v>
      </c>
    </row>
    <row r="39" customFormat="false" ht="15" hidden="false" customHeight="false" outlineLevel="0" collapsed="false">
      <c r="A39" s="31" t="s">
        <v>280</v>
      </c>
      <c r="E39" s="32" t="n">
        <f aca="false">E37/E38</f>
        <v>0.10172125</v>
      </c>
    </row>
    <row r="41" customFormat="false" ht="15" hidden="false" customHeight="false" outlineLevel="0" collapsed="false">
      <c r="A41" s="5" t="s">
        <v>313</v>
      </c>
      <c r="B41" s="6"/>
      <c r="C41" s="6"/>
      <c r="D41" s="6"/>
      <c r="E41" s="6"/>
      <c r="F41" s="6"/>
      <c r="G41" s="6"/>
    </row>
    <row r="42" customFormat="false" ht="26.85" hidden="false" customHeight="false" outlineLevel="0" collapsed="false">
      <c r="A42" s="4" t="s">
        <v>256</v>
      </c>
      <c r="B42" s="4" t="s">
        <v>257</v>
      </c>
      <c r="C42" s="4" t="s">
        <v>258</v>
      </c>
      <c r="D42" s="4" t="s">
        <v>259</v>
      </c>
      <c r="E42" s="4" t="s">
        <v>260</v>
      </c>
      <c r="F42" s="4" t="s">
        <v>261</v>
      </c>
      <c r="G42" s="4" t="s">
        <v>262</v>
      </c>
    </row>
    <row r="43" customFormat="false" ht="15" hidden="false" customHeight="false" outlineLevel="0" collapsed="false">
      <c r="A43" s="7" t="s">
        <v>314</v>
      </c>
      <c r="B43" s="16" t="n">
        <v>5</v>
      </c>
      <c r="C43" s="7" t="s">
        <v>128</v>
      </c>
      <c r="D43" s="23" t="n">
        <v>1.5155</v>
      </c>
      <c r="E43" s="29" t="n">
        <f aca="false">B43*D43</f>
        <v>7.5775</v>
      </c>
      <c r="F43" s="7" t="s">
        <v>283</v>
      </c>
      <c r="G43" s="3" t="s">
        <v>315</v>
      </c>
    </row>
    <row r="44" customFormat="false" ht="15" hidden="false" customHeight="false" outlineLevel="0" collapsed="false">
      <c r="A44" s="7" t="s">
        <v>316</v>
      </c>
      <c r="B44" s="16" t="n">
        <v>3</v>
      </c>
      <c r="C44" s="7" t="s">
        <v>128</v>
      </c>
      <c r="D44" s="23" t="n">
        <v>1.4136</v>
      </c>
      <c r="E44" s="29" t="n">
        <f aca="false">B44*D44</f>
        <v>4.2408</v>
      </c>
      <c r="F44" s="7" t="s">
        <v>317</v>
      </c>
      <c r="G44" s="3" t="s">
        <v>318</v>
      </c>
    </row>
    <row r="45" customFormat="false" ht="15" hidden="false" customHeight="false" outlineLevel="0" collapsed="false">
      <c r="A45" s="7" t="s">
        <v>319</v>
      </c>
      <c r="B45" s="16" t="n">
        <v>64</v>
      </c>
      <c r="C45" s="7" t="s">
        <v>271</v>
      </c>
      <c r="D45" s="23" t="n">
        <v>0.1104</v>
      </c>
      <c r="E45" s="29" t="n">
        <f aca="false">B45*D45</f>
        <v>7.0656</v>
      </c>
      <c r="F45" s="7" t="s">
        <v>272</v>
      </c>
      <c r="G45" s="3" t="s">
        <v>320</v>
      </c>
    </row>
    <row r="46" customFormat="false" ht="15" hidden="false" customHeight="false" outlineLevel="0" collapsed="false">
      <c r="A46" s="7" t="s">
        <v>270</v>
      </c>
      <c r="B46" s="16" t="n">
        <v>16</v>
      </c>
      <c r="C46" s="7" t="s">
        <v>271</v>
      </c>
      <c r="D46" s="18" t="n">
        <v>0.05</v>
      </c>
      <c r="E46" s="29" t="n">
        <f aca="false">B46*D46</f>
        <v>0.8</v>
      </c>
      <c r="F46" s="7" t="s">
        <v>272</v>
      </c>
      <c r="G46" s="3" t="s">
        <v>275</v>
      </c>
    </row>
    <row r="47" customFormat="false" ht="15" hidden="false" customHeight="false" outlineLevel="0" collapsed="false">
      <c r="A47" s="7" t="s">
        <v>321</v>
      </c>
      <c r="B47" s="16" t="n">
        <v>1</v>
      </c>
      <c r="C47" s="7" t="s">
        <v>128</v>
      </c>
      <c r="D47" s="23" t="n">
        <v>0.7832</v>
      </c>
      <c r="E47" s="29" t="n">
        <f aca="false">B47*D47</f>
        <v>0.7832</v>
      </c>
      <c r="F47" s="7" t="s">
        <v>322</v>
      </c>
      <c r="G47" s="3" t="s">
        <v>323</v>
      </c>
    </row>
    <row r="48" customFormat="false" ht="15" hidden="false" customHeight="false" outlineLevel="0" collapsed="false">
      <c r="A48" s="7" t="s">
        <v>301</v>
      </c>
      <c r="B48" s="16" t="n">
        <v>1</v>
      </c>
      <c r="C48" s="7" t="s">
        <v>277</v>
      </c>
      <c r="D48" s="18" t="n">
        <v>0.5</v>
      </c>
      <c r="E48" s="29" t="n">
        <f aca="false">B48*D48</f>
        <v>0.5</v>
      </c>
      <c r="F48" s="7"/>
      <c r="G48" s="3" t="s">
        <v>275</v>
      </c>
    </row>
    <row r="49" customFormat="false" ht="15" hidden="false" customHeight="false" outlineLevel="0" collapsed="false">
      <c r="A49" s="31" t="s">
        <v>260</v>
      </c>
      <c r="E49" s="30" t="n">
        <f aca="false">SUM(E43:E48)</f>
        <v>20.9671</v>
      </c>
    </row>
    <row r="50" customFormat="false" ht="15" hidden="false" customHeight="false" outlineLevel="0" collapsed="false">
      <c r="A50" s="7" t="s">
        <v>279</v>
      </c>
      <c r="E50" s="26" t="n">
        <v>160</v>
      </c>
    </row>
    <row r="51" customFormat="false" ht="15" hidden="false" customHeight="false" outlineLevel="0" collapsed="false">
      <c r="A51" s="31" t="s">
        <v>280</v>
      </c>
      <c r="E51" s="32" t="n">
        <f aca="false">E49/E50</f>
        <v>0.131044375</v>
      </c>
    </row>
    <row r="53" customFormat="false" ht="15" hidden="false" customHeight="false" outlineLevel="0" collapsed="false">
      <c r="A53" s="5" t="s">
        <v>324</v>
      </c>
      <c r="B53" s="6"/>
      <c r="C53" s="6"/>
      <c r="D53" s="6"/>
      <c r="E53" s="6"/>
      <c r="F53" s="6"/>
      <c r="G53" s="6"/>
    </row>
    <row r="54" customFormat="false" ht="26.85" hidden="false" customHeight="false" outlineLevel="0" collapsed="false">
      <c r="A54" s="4" t="s">
        <v>256</v>
      </c>
      <c r="B54" s="4" t="s">
        <v>257</v>
      </c>
      <c r="C54" s="4" t="s">
        <v>258</v>
      </c>
      <c r="D54" s="4" t="s">
        <v>259</v>
      </c>
      <c r="E54" s="4" t="s">
        <v>260</v>
      </c>
      <c r="F54" s="4" t="s">
        <v>261</v>
      </c>
      <c r="G54" s="4" t="s">
        <v>262</v>
      </c>
    </row>
    <row r="55" customFormat="false" ht="15" hidden="false" customHeight="false" outlineLevel="0" collapsed="false">
      <c r="A55" s="7" t="s">
        <v>325</v>
      </c>
      <c r="B55" s="16" t="n">
        <v>2</v>
      </c>
      <c r="C55" s="7" t="s">
        <v>128</v>
      </c>
      <c r="D55" s="18" t="n">
        <v>4.5</v>
      </c>
      <c r="E55" s="29" t="n">
        <f aca="false">B55*D55</f>
        <v>9</v>
      </c>
      <c r="F55" s="7" t="s">
        <v>326</v>
      </c>
      <c r="G55" s="3" t="s">
        <v>275</v>
      </c>
    </row>
    <row r="56" customFormat="false" ht="15" hidden="false" customHeight="false" outlineLevel="0" collapsed="false">
      <c r="A56" s="7" t="s">
        <v>291</v>
      </c>
      <c r="B56" s="16" t="n">
        <v>1</v>
      </c>
      <c r="C56" s="7" t="s">
        <v>292</v>
      </c>
      <c r="D56" s="23" t="n">
        <v>6.6025</v>
      </c>
      <c r="E56" s="29" t="n">
        <f aca="false">B56*D56</f>
        <v>6.6025</v>
      </c>
      <c r="F56" s="7" t="s">
        <v>272</v>
      </c>
      <c r="G56" s="3" t="s">
        <v>293</v>
      </c>
    </row>
    <row r="57" customFormat="false" ht="15" hidden="false" customHeight="false" outlineLevel="0" collapsed="false">
      <c r="A57" s="7" t="s">
        <v>327</v>
      </c>
      <c r="B57" s="16" t="n">
        <v>6</v>
      </c>
      <c r="C57" s="7" t="s">
        <v>128</v>
      </c>
      <c r="D57" s="18" t="n">
        <v>0.65</v>
      </c>
      <c r="E57" s="29" t="n">
        <f aca="false">B57*D57</f>
        <v>3.9</v>
      </c>
      <c r="F57" s="7" t="s">
        <v>328</v>
      </c>
      <c r="G57" s="3" t="s">
        <v>275</v>
      </c>
    </row>
    <row r="58" customFormat="false" ht="15" hidden="false" customHeight="false" outlineLevel="0" collapsed="false">
      <c r="A58" s="7" t="s">
        <v>329</v>
      </c>
      <c r="B58" s="16" t="n">
        <v>2</v>
      </c>
      <c r="C58" s="7" t="s">
        <v>128</v>
      </c>
      <c r="D58" s="23" t="n">
        <v>5.39</v>
      </c>
      <c r="E58" s="29" t="n">
        <f aca="false">B58*D58</f>
        <v>10.78</v>
      </c>
      <c r="F58" s="7" t="s">
        <v>330</v>
      </c>
      <c r="G58" s="3" t="s">
        <v>331</v>
      </c>
    </row>
    <row r="59" customFormat="false" ht="15" hidden="false" customHeight="false" outlineLevel="0" collapsed="false">
      <c r="A59" s="7" t="s">
        <v>332</v>
      </c>
      <c r="B59" s="16" t="n">
        <v>2</v>
      </c>
      <c r="C59" s="7" t="s">
        <v>128</v>
      </c>
      <c r="D59" s="18" t="n">
        <v>3.5</v>
      </c>
      <c r="E59" s="29" t="n">
        <f aca="false">B59*D59</f>
        <v>7</v>
      </c>
      <c r="F59" s="7" t="s">
        <v>310</v>
      </c>
      <c r="G59" s="3" t="s">
        <v>275</v>
      </c>
    </row>
    <row r="60" customFormat="false" ht="15" hidden="false" customHeight="false" outlineLevel="0" collapsed="false">
      <c r="A60" s="31" t="s">
        <v>260</v>
      </c>
      <c r="E60" s="30" t="n">
        <f aca="false">SUM(E55:E59)</f>
        <v>37.2825</v>
      </c>
    </row>
    <row r="61" customFormat="false" ht="15" hidden="false" customHeight="false" outlineLevel="0" collapsed="false">
      <c r="A61" s="7" t="s">
        <v>333</v>
      </c>
      <c r="E61" s="26" t="n">
        <v>24</v>
      </c>
    </row>
    <row r="62" customFormat="false" ht="15" hidden="false" customHeight="false" outlineLevel="0" collapsed="false">
      <c r="A62" s="31" t="s">
        <v>334</v>
      </c>
      <c r="E62" s="32" t="n">
        <f aca="false">E60/E61</f>
        <v>1.5534375</v>
      </c>
    </row>
    <row r="64" customFormat="false" ht="15" hidden="false" customHeight="false" outlineLevel="0" collapsed="false">
      <c r="A64" s="5" t="s">
        <v>335</v>
      </c>
      <c r="B64" s="6"/>
      <c r="C64" s="6"/>
      <c r="D64" s="6"/>
      <c r="E64" s="6"/>
      <c r="F64" s="6"/>
      <c r="G64" s="6"/>
    </row>
    <row r="65" customFormat="false" ht="26.85" hidden="false" customHeight="false" outlineLevel="0" collapsed="false">
      <c r="A65" s="4" t="s">
        <v>256</v>
      </c>
      <c r="B65" s="4" t="s">
        <v>257</v>
      </c>
      <c r="C65" s="4" t="s">
        <v>258</v>
      </c>
      <c r="D65" s="4" t="s">
        <v>259</v>
      </c>
      <c r="E65" s="4" t="s">
        <v>260</v>
      </c>
      <c r="F65" s="4" t="s">
        <v>261</v>
      </c>
      <c r="G65" s="4" t="s">
        <v>262</v>
      </c>
    </row>
    <row r="66" customFormat="false" ht="15" hidden="false" customHeight="false" outlineLevel="0" collapsed="false">
      <c r="A66" s="7" t="s">
        <v>336</v>
      </c>
      <c r="B66" s="16" t="n">
        <v>5</v>
      </c>
      <c r="C66" s="7" t="s">
        <v>128</v>
      </c>
      <c r="D66" s="23" t="n">
        <v>1.0388</v>
      </c>
      <c r="E66" s="29" t="n">
        <f aca="false">B66*D66</f>
        <v>5.194</v>
      </c>
      <c r="F66" s="7" t="s">
        <v>337</v>
      </c>
      <c r="G66" s="3" t="s">
        <v>338</v>
      </c>
    </row>
    <row r="67" customFormat="false" ht="15" hidden="false" customHeight="false" outlineLevel="0" collapsed="false">
      <c r="A67" s="7" t="s">
        <v>270</v>
      </c>
      <c r="B67" s="16" t="n">
        <v>32</v>
      </c>
      <c r="C67" s="7" t="s">
        <v>271</v>
      </c>
      <c r="D67" s="23" t="n">
        <v>0.0403</v>
      </c>
      <c r="E67" s="29" t="n">
        <f aca="false">B67*D67</f>
        <v>1.2896</v>
      </c>
      <c r="F67" s="7" t="s">
        <v>272</v>
      </c>
      <c r="G67" s="3" t="s">
        <v>339</v>
      </c>
    </row>
    <row r="68" customFormat="false" ht="15" hidden="false" customHeight="false" outlineLevel="0" collapsed="false">
      <c r="A68" s="7" t="s">
        <v>321</v>
      </c>
      <c r="B68" s="16" t="n">
        <v>0.5</v>
      </c>
      <c r="C68" s="7" t="s">
        <v>128</v>
      </c>
      <c r="D68" s="23" t="n">
        <v>0.7832</v>
      </c>
      <c r="E68" s="29" t="n">
        <f aca="false">B68*D68</f>
        <v>0.3916</v>
      </c>
      <c r="F68" s="7" t="s">
        <v>322</v>
      </c>
      <c r="G68" s="3" t="s">
        <v>323</v>
      </c>
    </row>
    <row r="69" customFormat="false" ht="15" hidden="false" customHeight="false" outlineLevel="0" collapsed="false">
      <c r="A69" s="7" t="s">
        <v>340</v>
      </c>
      <c r="B69" s="16" t="n">
        <v>1</v>
      </c>
      <c r="C69" s="7" t="s">
        <v>277</v>
      </c>
      <c r="D69" s="18" t="n">
        <v>0.3</v>
      </c>
      <c r="E69" s="29" t="n">
        <f aca="false">B69*D69</f>
        <v>0.3</v>
      </c>
      <c r="F69" s="7"/>
      <c r="G69" s="3" t="s">
        <v>275</v>
      </c>
    </row>
    <row r="70" customFormat="false" ht="15" hidden="false" customHeight="false" outlineLevel="0" collapsed="false">
      <c r="A70" s="31" t="s">
        <v>260</v>
      </c>
      <c r="E70" s="30" t="n">
        <f aca="false">SUM(E66:E69)</f>
        <v>7.1752</v>
      </c>
    </row>
    <row r="71" customFormat="false" ht="15" hidden="false" customHeight="false" outlineLevel="0" collapsed="false">
      <c r="A71" s="7" t="s">
        <v>279</v>
      </c>
      <c r="E71" s="26" t="n">
        <v>80</v>
      </c>
    </row>
    <row r="72" customFormat="false" ht="15" hidden="false" customHeight="false" outlineLevel="0" collapsed="false">
      <c r="A72" s="31" t="s">
        <v>280</v>
      </c>
      <c r="E72" s="32" t="n">
        <f aca="false">E70/E71</f>
        <v>0.08969</v>
      </c>
    </row>
    <row r="74" customFormat="false" ht="15" hidden="false" customHeight="false" outlineLevel="0" collapsed="false">
      <c r="A74" s="5" t="s">
        <v>341</v>
      </c>
      <c r="B74" s="6"/>
      <c r="C74" s="6"/>
      <c r="D74" s="6"/>
      <c r="E74" s="6"/>
      <c r="F74" s="6"/>
      <c r="G74" s="6"/>
    </row>
    <row r="75" customFormat="false" ht="26.85" hidden="false" customHeight="false" outlineLevel="0" collapsed="false">
      <c r="A75" s="4" t="s">
        <v>256</v>
      </c>
      <c r="B75" s="4" t="s">
        <v>257</v>
      </c>
      <c r="C75" s="4" t="s">
        <v>258</v>
      </c>
      <c r="D75" s="4" t="s">
        <v>259</v>
      </c>
      <c r="E75" s="4" t="s">
        <v>260</v>
      </c>
      <c r="F75" s="4" t="s">
        <v>261</v>
      </c>
      <c r="G75" s="4" t="s">
        <v>262</v>
      </c>
    </row>
    <row r="76" customFormat="false" ht="15" hidden="false" customHeight="false" outlineLevel="0" collapsed="false">
      <c r="A76" s="7" t="s">
        <v>319</v>
      </c>
      <c r="B76" s="16" t="n">
        <v>48</v>
      </c>
      <c r="C76" s="7" t="s">
        <v>271</v>
      </c>
      <c r="D76" s="23" t="n">
        <v>0.1104</v>
      </c>
      <c r="E76" s="29" t="n">
        <f aca="false">B76*D76</f>
        <v>5.2992</v>
      </c>
      <c r="F76" s="7" t="s">
        <v>272</v>
      </c>
      <c r="G76" s="3" t="s">
        <v>320</v>
      </c>
    </row>
    <row r="77" customFormat="false" ht="15" hidden="false" customHeight="false" outlineLevel="0" collapsed="false">
      <c r="A77" s="7" t="s">
        <v>342</v>
      </c>
      <c r="B77" s="16" t="n">
        <v>8</v>
      </c>
      <c r="C77" s="7" t="s">
        <v>271</v>
      </c>
      <c r="D77" s="23" t="n">
        <v>0.0784</v>
      </c>
      <c r="E77" s="29" t="n">
        <f aca="false">B77*D77</f>
        <v>0.6272</v>
      </c>
      <c r="F77" s="7" t="s">
        <v>272</v>
      </c>
      <c r="G77" s="3" t="s">
        <v>343</v>
      </c>
    </row>
    <row r="78" customFormat="false" ht="15" hidden="false" customHeight="false" outlineLevel="0" collapsed="false">
      <c r="A78" s="7" t="s">
        <v>344</v>
      </c>
      <c r="B78" s="16" t="n">
        <v>8</v>
      </c>
      <c r="C78" s="7" t="s">
        <v>271</v>
      </c>
      <c r="D78" s="18" t="n">
        <v>0.1</v>
      </c>
      <c r="E78" s="29" t="n">
        <f aca="false">B78*D78</f>
        <v>0.8</v>
      </c>
      <c r="F78" s="7" t="s">
        <v>272</v>
      </c>
      <c r="G78" s="3" t="s">
        <v>275</v>
      </c>
    </row>
    <row r="79" customFormat="false" ht="15" hidden="false" customHeight="false" outlineLevel="0" collapsed="false">
      <c r="A79" s="7" t="s">
        <v>345</v>
      </c>
      <c r="B79" s="16" t="n">
        <v>1</v>
      </c>
      <c r="C79" s="7" t="s">
        <v>277</v>
      </c>
      <c r="D79" s="18" t="n">
        <v>1</v>
      </c>
      <c r="E79" s="29" t="n">
        <f aca="false">B79*D79</f>
        <v>1</v>
      </c>
      <c r="F79" s="7"/>
      <c r="G79" s="3" t="s">
        <v>275</v>
      </c>
    </row>
    <row r="80" customFormat="false" ht="15" hidden="false" customHeight="false" outlineLevel="0" collapsed="false">
      <c r="A80" s="31" t="s">
        <v>260</v>
      </c>
      <c r="E80" s="30" t="n">
        <f aca="false">SUM(E76:E79)</f>
        <v>7.7264</v>
      </c>
    </row>
    <row r="81" customFormat="false" ht="15" hidden="false" customHeight="false" outlineLevel="0" collapsed="false">
      <c r="A81" s="7" t="s">
        <v>279</v>
      </c>
      <c r="E81" s="26" t="n">
        <v>64</v>
      </c>
    </row>
    <row r="82" customFormat="false" ht="15" hidden="false" customHeight="false" outlineLevel="0" collapsed="false">
      <c r="A82" s="31" t="s">
        <v>280</v>
      </c>
      <c r="E82" s="32" t="n">
        <f aca="false">E80/E81</f>
        <v>0.120725</v>
      </c>
    </row>
    <row r="84" customFormat="false" ht="15" hidden="false" customHeight="false" outlineLevel="0" collapsed="false">
      <c r="A84" s="5" t="s">
        <v>346</v>
      </c>
      <c r="B84" s="6"/>
      <c r="C84" s="6"/>
      <c r="D84" s="6"/>
      <c r="E84" s="6"/>
      <c r="F84" s="6"/>
      <c r="G84" s="6"/>
    </row>
    <row r="85" customFormat="false" ht="26.85" hidden="false" customHeight="false" outlineLevel="0" collapsed="false">
      <c r="A85" s="4" t="s">
        <v>256</v>
      </c>
      <c r="B85" s="4" t="s">
        <v>257</v>
      </c>
      <c r="C85" s="4" t="s">
        <v>258</v>
      </c>
      <c r="D85" s="4" t="s">
        <v>259</v>
      </c>
      <c r="E85" s="4" t="s">
        <v>260</v>
      </c>
      <c r="F85" s="4" t="s">
        <v>261</v>
      </c>
      <c r="G85" s="4" t="s">
        <v>262</v>
      </c>
    </row>
    <row r="86" customFormat="false" ht="15" hidden="false" customHeight="false" outlineLevel="0" collapsed="false">
      <c r="A86" s="7" t="s">
        <v>347</v>
      </c>
      <c r="B86" s="16" t="n">
        <v>2</v>
      </c>
      <c r="C86" s="7" t="s">
        <v>128</v>
      </c>
      <c r="D86" s="18" t="n">
        <v>3.5</v>
      </c>
      <c r="E86" s="29" t="n">
        <f aca="false">B86*D86</f>
        <v>7</v>
      </c>
      <c r="F86" s="7" t="s">
        <v>310</v>
      </c>
      <c r="G86" s="3" t="s">
        <v>275</v>
      </c>
    </row>
    <row r="87" customFormat="false" ht="15" hidden="false" customHeight="false" outlineLevel="0" collapsed="false">
      <c r="A87" s="7" t="s">
        <v>311</v>
      </c>
      <c r="B87" s="16" t="n">
        <v>64</v>
      </c>
      <c r="C87" s="7" t="s">
        <v>271</v>
      </c>
      <c r="D87" s="22" t="n">
        <f aca="false">'Sides &amp; Ingredients'!$E$13</f>
        <v>0.11041015625</v>
      </c>
      <c r="E87" s="29" t="n">
        <f aca="false">B87*D87</f>
        <v>7.06625</v>
      </c>
      <c r="F87" s="7"/>
    </row>
    <row r="88" customFormat="false" ht="15" hidden="false" customHeight="false" outlineLevel="0" collapsed="false">
      <c r="A88" s="7" t="s">
        <v>270</v>
      </c>
      <c r="B88" s="16" t="n">
        <v>8</v>
      </c>
      <c r="C88" s="7" t="s">
        <v>271</v>
      </c>
      <c r="D88" s="23" t="n">
        <v>0.0403</v>
      </c>
      <c r="E88" s="29" t="n">
        <f aca="false">B88*D88</f>
        <v>0.3224</v>
      </c>
      <c r="F88" s="7" t="s">
        <v>272</v>
      </c>
      <c r="G88" s="3" t="s">
        <v>339</v>
      </c>
    </row>
    <row r="89" customFormat="false" ht="15" hidden="false" customHeight="false" outlineLevel="0" collapsed="false">
      <c r="A89" s="31" t="s">
        <v>260</v>
      </c>
      <c r="E89" s="30" t="n">
        <f aca="false">SUM(E86:E88)</f>
        <v>14.38865</v>
      </c>
    </row>
    <row r="90" customFormat="false" ht="15" hidden="false" customHeight="false" outlineLevel="0" collapsed="false">
      <c r="A90" s="7" t="s">
        <v>279</v>
      </c>
      <c r="E90" s="26" t="n">
        <v>96</v>
      </c>
    </row>
    <row r="91" customFormat="false" ht="15" hidden="false" customHeight="false" outlineLevel="0" collapsed="false">
      <c r="A91" s="31" t="s">
        <v>280</v>
      </c>
      <c r="E91" s="32" t="n">
        <f aca="false">E89/E90</f>
        <v>0.149881770833333</v>
      </c>
    </row>
    <row r="93" customFormat="false" ht="15" hidden="false" customHeight="false" outlineLevel="0" collapsed="false">
      <c r="A93" s="5" t="s">
        <v>348</v>
      </c>
      <c r="B93" s="6"/>
      <c r="C93" s="6"/>
      <c r="D93" s="6"/>
      <c r="E93" s="6"/>
      <c r="F93" s="6"/>
      <c r="G93" s="6"/>
    </row>
    <row r="94" customFormat="false" ht="26.85" hidden="false" customHeight="false" outlineLevel="0" collapsed="false">
      <c r="A94" s="4" t="s">
        <v>256</v>
      </c>
      <c r="B94" s="4" t="s">
        <v>257</v>
      </c>
      <c r="C94" s="4" t="s">
        <v>258</v>
      </c>
      <c r="D94" s="4" t="s">
        <v>259</v>
      </c>
      <c r="E94" s="4" t="s">
        <v>260</v>
      </c>
      <c r="F94" s="4" t="s">
        <v>261</v>
      </c>
      <c r="G94" s="4" t="s">
        <v>262</v>
      </c>
    </row>
    <row r="95" customFormat="false" ht="15" hidden="false" customHeight="false" outlineLevel="0" collapsed="false">
      <c r="A95" s="7" t="s">
        <v>349</v>
      </c>
      <c r="B95" s="16" t="n">
        <v>1</v>
      </c>
      <c r="C95" s="7" t="s">
        <v>350</v>
      </c>
      <c r="D95" s="23" t="n">
        <v>14.73</v>
      </c>
      <c r="E95" s="29" t="n">
        <f aca="false">B95*D95</f>
        <v>14.73</v>
      </c>
      <c r="F95" s="7" t="s">
        <v>351</v>
      </c>
      <c r="G95" s="3" t="s">
        <v>352</v>
      </c>
    </row>
    <row r="96" customFormat="false" ht="15" hidden="false" customHeight="false" outlineLevel="0" collapsed="false">
      <c r="A96" s="7" t="s">
        <v>353</v>
      </c>
      <c r="B96" s="16" t="n">
        <v>6</v>
      </c>
      <c r="C96" s="7" t="s">
        <v>244</v>
      </c>
      <c r="D96" s="23" t="n">
        <v>0.1483</v>
      </c>
      <c r="E96" s="29" t="n">
        <f aca="false">B96*D96</f>
        <v>0.8898</v>
      </c>
      <c r="F96" s="7" t="s">
        <v>354</v>
      </c>
      <c r="G96" s="3" t="s">
        <v>355</v>
      </c>
    </row>
    <row r="97" customFormat="false" ht="15" hidden="false" customHeight="false" outlineLevel="0" collapsed="false">
      <c r="A97" s="7" t="s">
        <v>291</v>
      </c>
      <c r="B97" s="16" t="n">
        <v>0.5</v>
      </c>
      <c r="C97" s="7" t="s">
        <v>292</v>
      </c>
      <c r="D97" s="23" t="n">
        <v>6.6025</v>
      </c>
      <c r="E97" s="29" t="n">
        <f aca="false">B97*D97</f>
        <v>3.30125</v>
      </c>
      <c r="F97" s="7" t="s">
        <v>272</v>
      </c>
      <c r="G97" s="3" t="s">
        <v>293</v>
      </c>
    </row>
    <row r="98" customFormat="false" ht="15" hidden="false" customHeight="false" outlineLevel="0" collapsed="false">
      <c r="A98" s="7" t="s">
        <v>356</v>
      </c>
      <c r="B98" s="16" t="n">
        <v>0.5</v>
      </c>
      <c r="C98" s="7" t="s">
        <v>128</v>
      </c>
      <c r="D98" s="23" t="n">
        <v>2.3339</v>
      </c>
      <c r="E98" s="29" t="n">
        <f aca="false">B98*D98</f>
        <v>1.16695</v>
      </c>
      <c r="F98" s="7" t="s">
        <v>299</v>
      </c>
      <c r="G98" s="3" t="s">
        <v>300</v>
      </c>
    </row>
    <row r="99" customFormat="false" ht="15" hidden="false" customHeight="false" outlineLevel="0" collapsed="false">
      <c r="A99" s="31" t="s">
        <v>260</v>
      </c>
      <c r="E99" s="30" t="n">
        <f aca="false">SUM(E95:E98)</f>
        <v>20.088</v>
      </c>
    </row>
    <row r="100" customFormat="false" ht="15" hidden="false" customHeight="false" outlineLevel="0" collapsed="false">
      <c r="A100" s="7" t="s">
        <v>357</v>
      </c>
      <c r="E100" s="26" t="n">
        <v>40</v>
      </c>
    </row>
    <row r="101" customFormat="false" ht="15" hidden="false" customHeight="false" outlineLevel="0" collapsed="false">
      <c r="A101" s="31" t="s">
        <v>358</v>
      </c>
      <c r="E101" s="32" t="n">
        <f aca="false">E99/E100</f>
        <v>0.5022</v>
      </c>
    </row>
    <row r="103" customFormat="false" ht="15" hidden="false" customHeight="false" outlineLevel="0" collapsed="false">
      <c r="A103" s="5" t="s">
        <v>359</v>
      </c>
      <c r="B103" s="6"/>
      <c r="C103" s="6"/>
      <c r="D103" s="6"/>
      <c r="E103" s="6"/>
      <c r="F103" s="6"/>
      <c r="G103" s="6"/>
    </row>
    <row r="104" customFormat="false" ht="26.85" hidden="false" customHeight="false" outlineLevel="0" collapsed="false">
      <c r="A104" s="4" t="s">
        <v>256</v>
      </c>
      <c r="B104" s="4" t="s">
        <v>257</v>
      </c>
      <c r="C104" s="4" t="s">
        <v>258</v>
      </c>
      <c r="D104" s="4" t="s">
        <v>259</v>
      </c>
      <c r="E104" s="4" t="s">
        <v>260</v>
      </c>
      <c r="F104" s="4" t="s">
        <v>261</v>
      </c>
      <c r="G104" s="4" t="s">
        <v>262</v>
      </c>
    </row>
    <row r="105" customFormat="false" ht="15" hidden="false" customHeight="false" outlineLevel="0" collapsed="false">
      <c r="A105" s="7" t="s">
        <v>298</v>
      </c>
      <c r="B105" s="16" t="n">
        <v>1.25</v>
      </c>
      <c r="C105" s="7" t="s">
        <v>128</v>
      </c>
      <c r="D105" s="23" t="n">
        <v>2.3339</v>
      </c>
      <c r="E105" s="29" t="n">
        <f aca="false">B105*D105</f>
        <v>2.917375</v>
      </c>
      <c r="F105" s="7" t="s">
        <v>299</v>
      </c>
      <c r="G105" s="3" t="s">
        <v>300</v>
      </c>
    </row>
    <row r="106" customFormat="false" ht="15" hidden="false" customHeight="false" outlineLevel="0" collapsed="false">
      <c r="A106" s="7" t="s">
        <v>360</v>
      </c>
      <c r="B106" s="16" t="n">
        <v>0.5</v>
      </c>
      <c r="C106" s="7" t="s">
        <v>128</v>
      </c>
      <c r="D106" s="18" t="n">
        <v>1</v>
      </c>
      <c r="E106" s="29" t="n">
        <f aca="false">B106*D106</f>
        <v>0.5</v>
      </c>
      <c r="F106" s="7" t="s">
        <v>306</v>
      </c>
      <c r="G106" s="3" t="s">
        <v>275</v>
      </c>
    </row>
    <row r="107" customFormat="false" ht="15" hidden="false" customHeight="false" outlineLevel="0" collapsed="false">
      <c r="A107" s="7" t="s">
        <v>361</v>
      </c>
      <c r="B107" s="16" t="n">
        <v>4</v>
      </c>
      <c r="C107" s="7" t="s">
        <v>271</v>
      </c>
      <c r="D107" s="23" t="n">
        <v>0.1462</v>
      </c>
      <c r="E107" s="29" t="n">
        <f aca="false">B107*D107</f>
        <v>0.5848</v>
      </c>
      <c r="F107" s="7" t="s">
        <v>362</v>
      </c>
      <c r="G107" s="3" t="s">
        <v>363</v>
      </c>
    </row>
    <row r="108" customFormat="false" ht="15" hidden="false" customHeight="false" outlineLevel="0" collapsed="false">
      <c r="A108" s="7" t="s">
        <v>364</v>
      </c>
      <c r="B108" s="16" t="n">
        <v>1</v>
      </c>
      <c r="C108" s="7" t="s">
        <v>277</v>
      </c>
      <c r="D108" s="18" t="n">
        <v>0.05</v>
      </c>
      <c r="E108" s="29" t="n">
        <f aca="false">B108*D108</f>
        <v>0.05</v>
      </c>
      <c r="F108" s="7"/>
      <c r="G108" s="3" t="s">
        <v>275</v>
      </c>
    </row>
    <row r="109" customFormat="false" ht="15" hidden="false" customHeight="false" outlineLevel="0" collapsed="false">
      <c r="A109" s="31" t="s">
        <v>260</v>
      </c>
      <c r="E109" s="30" t="n">
        <f aca="false">SUM(E105:E108)</f>
        <v>4.052175</v>
      </c>
    </row>
    <row r="110" customFormat="false" ht="15" hidden="false" customHeight="false" outlineLevel="0" collapsed="false">
      <c r="A110" s="7" t="s">
        <v>279</v>
      </c>
      <c r="E110" s="26" t="n">
        <v>32</v>
      </c>
    </row>
    <row r="111" customFormat="false" ht="15" hidden="false" customHeight="false" outlineLevel="0" collapsed="false">
      <c r="A111" s="31" t="s">
        <v>280</v>
      </c>
      <c r="E111" s="32" t="n">
        <f aca="false">E109/E110</f>
        <v>0.12663046875</v>
      </c>
    </row>
    <row r="113" customFormat="false" ht="15" hidden="false" customHeight="false" outlineLevel="0" collapsed="false">
      <c r="A113" s="5" t="s">
        <v>365</v>
      </c>
      <c r="B113" s="6"/>
      <c r="C113" s="6"/>
      <c r="D113" s="6"/>
      <c r="E113" s="6"/>
      <c r="F113" s="6"/>
      <c r="G113" s="6"/>
    </row>
    <row r="114" customFormat="false" ht="26.85" hidden="false" customHeight="false" outlineLevel="0" collapsed="false">
      <c r="A114" s="4" t="s">
        <v>366</v>
      </c>
      <c r="B114" s="4"/>
      <c r="C114" s="4" t="s">
        <v>258</v>
      </c>
      <c r="D114" s="4" t="s">
        <v>259</v>
      </c>
      <c r="E114" s="4"/>
      <c r="F114" s="4" t="s">
        <v>261</v>
      </c>
      <c r="G114" s="4" t="s">
        <v>262</v>
      </c>
    </row>
    <row r="115" customFormat="false" ht="15" hidden="false" customHeight="false" outlineLevel="0" collapsed="false">
      <c r="A115" s="7" t="s">
        <v>367</v>
      </c>
      <c r="C115" s="7" t="s">
        <v>368</v>
      </c>
      <c r="D115" s="23" t="n">
        <v>0.2793</v>
      </c>
      <c r="G115" s="3" t="s">
        <v>369</v>
      </c>
    </row>
    <row r="116" customFormat="false" ht="15" hidden="false" customHeight="false" outlineLevel="0" collapsed="false">
      <c r="A116" s="7" t="s">
        <v>370</v>
      </c>
      <c r="C116" s="7" t="s">
        <v>271</v>
      </c>
      <c r="D116" s="23" t="n">
        <v>0.1367</v>
      </c>
      <c r="G116" s="3" t="s">
        <v>371</v>
      </c>
    </row>
    <row r="117" customFormat="false" ht="15" hidden="false" customHeight="false" outlineLevel="0" collapsed="false">
      <c r="A117" s="7" t="s">
        <v>372</v>
      </c>
      <c r="C117" s="7" t="s">
        <v>244</v>
      </c>
      <c r="D117" s="23" t="n">
        <v>0.47</v>
      </c>
      <c r="G117" s="3" t="s">
        <v>373</v>
      </c>
    </row>
    <row r="118" customFormat="false" ht="15" hidden="false" customHeight="false" outlineLevel="0" collapsed="false">
      <c r="A118" s="7" t="s">
        <v>374</v>
      </c>
      <c r="C118" s="7" t="s">
        <v>271</v>
      </c>
      <c r="D118" s="23" t="n">
        <v>0.2831</v>
      </c>
      <c r="G118" s="3" t="s">
        <v>375</v>
      </c>
    </row>
    <row r="119" customFormat="false" ht="15" hidden="false" customHeight="false" outlineLevel="0" collapsed="false">
      <c r="A119" s="7" t="s">
        <v>376</v>
      </c>
      <c r="C119" s="7" t="s">
        <v>271</v>
      </c>
      <c r="D119" s="23" t="n">
        <v>0.2806</v>
      </c>
      <c r="G119" s="3" t="s">
        <v>377</v>
      </c>
    </row>
    <row r="120" customFormat="false" ht="15" hidden="false" customHeight="false" outlineLevel="0" collapsed="false">
      <c r="A120" s="7" t="s">
        <v>378</v>
      </c>
      <c r="C120" s="7" t="s">
        <v>271</v>
      </c>
      <c r="D120" s="23" t="n">
        <v>0.375</v>
      </c>
      <c r="G120" s="3" t="s">
        <v>379</v>
      </c>
    </row>
    <row r="121" customFormat="false" ht="15" hidden="false" customHeight="false" outlineLevel="0" collapsed="false">
      <c r="A121" s="7" t="s">
        <v>380</v>
      </c>
      <c r="C121" s="7" t="s">
        <v>271</v>
      </c>
      <c r="D121" s="23" t="n">
        <v>0.1459</v>
      </c>
      <c r="G121" s="3" t="s">
        <v>300</v>
      </c>
    </row>
    <row r="122" customFormat="false" ht="15" hidden="false" customHeight="false" outlineLevel="0" collapsed="false">
      <c r="A122" s="7" t="s">
        <v>381</v>
      </c>
      <c r="C122" s="7" t="s">
        <v>244</v>
      </c>
      <c r="D122" s="23" t="n">
        <v>2.326</v>
      </c>
      <c r="G122" s="3" t="s">
        <v>382</v>
      </c>
    </row>
    <row r="123" customFormat="false" ht="15" hidden="false" customHeight="false" outlineLevel="0" collapsed="false">
      <c r="A123" s="7" t="s">
        <v>383</v>
      </c>
      <c r="C123" s="7" t="s">
        <v>244</v>
      </c>
      <c r="D123" s="23" t="n">
        <v>3.858</v>
      </c>
      <c r="G123" s="3" t="s">
        <v>384</v>
      </c>
    </row>
    <row r="124" customFormat="false" ht="15" hidden="false" customHeight="false" outlineLevel="0" collapsed="false">
      <c r="A124" s="7" t="s">
        <v>385</v>
      </c>
      <c r="C124" s="7" t="s">
        <v>244</v>
      </c>
      <c r="D124" s="23" t="n">
        <v>0.302</v>
      </c>
      <c r="G124" s="3" t="s">
        <v>386</v>
      </c>
    </row>
    <row r="125" customFormat="false" ht="15" hidden="false" customHeight="false" outlineLevel="0" collapsed="false">
      <c r="A125" s="7" t="s">
        <v>387</v>
      </c>
      <c r="C125" s="7" t="s">
        <v>244</v>
      </c>
      <c r="D125" s="23" t="n">
        <v>0.253</v>
      </c>
      <c r="G125" s="3" t="s">
        <v>388</v>
      </c>
    </row>
    <row r="126" customFormat="false" ht="15" hidden="false" customHeight="false" outlineLevel="0" collapsed="false">
      <c r="A126" s="7" t="s">
        <v>389</v>
      </c>
      <c r="C126" s="7" t="s">
        <v>244</v>
      </c>
      <c r="D126" s="23" t="n">
        <v>0.303</v>
      </c>
      <c r="G126" s="3" t="s">
        <v>390</v>
      </c>
    </row>
    <row r="127" customFormat="false" ht="15" hidden="false" customHeight="false" outlineLevel="0" collapsed="false">
      <c r="A127" s="7" t="s">
        <v>391</v>
      </c>
      <c r="C127" s="7" t="s">
        <v>244</v>
      </c>
      <c r="D127" s="23" t="n">
        <v>1.944</v>
      </c>
      <c r="G127" s="3" t="s">
        <v>392</v>
      </c>
    </row>
    <row r="128" customFormat="false" ht="15" hidden="false" customHeight="false" outlineLevel="0" collapsed="false">
      <c r="A128" s="7" t="s">
        <v>393</v>
      </c>
      <c r="C128" s="7" t="s">
        <v>244</v>
      </c>
      <c r="D128" s="23" t="n">
        <v>0.5242</v>
      </c>
      <c r="G128" s="3" t="s">
        <v>394</v>
      </c>
    </row>
    <row r="129" customFormat="false" ht="15" hidden="false" customHeight="false" outlineLevel="0" collapsed="false">
      <c r="A129" s="7" t="s">
        <v>395</v>
      </c>
      <c r="C129" s="7" t="s">
        <v>244</v>
      </c>
      <c r="D129" s="23" t="n">
        <v>11.016</v>
      </c>
      <c r="G129" s="3" t="s">
        <v>396</v>
      </c>
    </row>
    <row r="130" customFormat="false" ht="15" hidden="false" customHeight="false" outlineLevel="0" collapsed="false">
      <c r="A130" s="7" t="s">
        <v>397</v>
      </c>
      <c r="C130" s="7" t="s">
        <v>244</v>
      </c>
      <c r="D130" s="23" t="n">
        <v>19.738</v>
      </c>
      <c r="G130" s="3" t="s">
        <v>398</v>
      </c>
    </row>
    <row r="131" customFormat="false" ht="15" hidden="false" customHeight="false" outlineLevel="0" collapsed="false">
      <c r="A131" s="7" t="s">
        <v>399</v>
      </c>
      <c r="C131" s="7" t="s">
        <v>244</v>
      </c>
      <c r="D131" s="23" t="n">
        <v>25.997</v>
      </c>
      <c r="G131" s="3" t="s">
        <v>400</v>
      </c>
    </row>
    <row r="132" customFormat="false" ht="15" hidden="false" customHeight="false" outlineLevel="0" collapsed="false">
      <c r="A132" s="7" t="s">
        <v>401</v>
      </c>
      <c r="C132" s="7" t="s">
        <v>244</v>
      </c>
      <c r="D132" s="23" t="n">
        <v>42.347</v>
      </c>
      <c r="G132" s="3" t="s">
        <v>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24" min="3" style="0" width="11"/>
  </cols>
  <sheetData>
    <row r="1" customFormat="false" ht="17.35" hidden="false" customHeight="false" outlineLevel="0" collapsed="false">
      <c r="A1" s="1" t="s">
        <v>403</v>
      </c>
      <c r="B1" s="2"/>
      <c r="C1" s="2"/>
      <c r="D1" s="2"/>
      <c r="E1" s="2"/>
      <c r="F1" s="2"/>
      <c r="G1" s="2"/>
      <c r="H1" s="2"/>
      <c r="I1" s="2"/>
      <c r="J1" s="2"/>
      <c r="K1" s="2"/>
      <c r="L1" s="2"/>
      <c r="M1" s="2"/>
      <c r="N1" s="2"/>
      <c r="O1" s="2"/>
      <c r="P1" s="2"/>
      <c r="Q1" s="2"/>
      <c r="R1" s="2"/>
      <c r="S1" s="2"/>
      <c r="T1" s="2"/>
    </row>
    <row r="2" customFormat="false" ht="15" hidden="false" customHeight="false" outlineLevel="0" collapsed="false">
      <c r="A2" s="3" t="s">
        <v>404</v>
      </c>
    </row>
    <row r="4" customFormat="false" ht="43.5" hidden="false" customHeight="true" outlineLevel="0" collapsed="false">
      <c r="A4" s="4" t="s">
        <v>405</v>
      </c>
      <c r="B4" s="4" t="s">
        <v>258</v>
      </c>
      <c r="C4" s="4" t="s">
        <v>406</v>
      </c>
      <c r="D4" s="4" t="s">
        <v>407</v>
      </c>
      <c r="E4" s="4" t="s">
        <v>408</v>
      </c>
      <c r="F4" s="4" t="s">
        <v>409</v>
      </c>
      <c r="G4" s="4" t="s">
        <v>148</v>
      </c>
      <c r="H4" s="4" t="s">
        <v>150</v>
      </c>
      <c r="I4" s="4" t="s">
        <v>410</v>
      </c>
      <c r="J4" s="4" t="s">
        <v>411</v>
      </c>
      <c r="K4" s="4" t="s">
        <v>412</v>
      </c>
      <c r="L4" s="4" t="s">
        <v>413</v>
      </c>
      <c r="M4" s="4" t="s">
        <v>414</v>
      </c>
      <c r="N4" s="4" t="s">
        <v>415</v>
      </c>
      <c r="O4" s="4" t="s">
        <v>416</v>
      </c>
      <c r="P4" s="4" t="s">
        <v>417</v>
      </c>
      <c r="Q4" s="4" t="s">
        <v>418</v>
      </c>
      <c r="R4" s="4" t="s">
        <v>419</v>
      </c>
      <c r="S4" s="4" t="s">
        <v>420</v>
      </c>
      <c r="T4" s="4" t="s">
        <v>421</v>
      </c>
      <c r="U4" s="4" t="s">
        <v>422</v>
      </c>
      <c r="V4" s="4" t="s">
        <v>423</v>
      </c>
      <c r="W4" s="4" t="s">
        <v>424</v>
      </c>
      <c r="X4" s="4" t="s">
        <v>425</v>
      </c>
    </row>
    <row r="5" customFormat="false" ht="15" hidden="false" customHeight="false" outlineLevel="0" collapsed="false">
      <c r="A5" s="7" t="s">
        <v>237</v>
      </c>
      <c r="B5" s="7" t="s">
        <v>238</v>
      </c>
      <c r="C5" s="7" t="s">
        <v>426</v>
      </c>
      <c r="D5" s="22" t="n">
        <f aca="false">'Meat Cost &amp; Transfer'!$J$5</f>
        <v>17.3302459118712</v>
      </c>
      <c r="E5" s="33" t="n">
        <v>0.25</v>
      </c>
      <c r="F5" s="33" t="n">
        <v>0.5</v>
      </c>
      <c r="G5" s="33" t="n">
        <v>0.25</v>
      </c>
      <c r="I5" s="33" t="n">
        <v>1</v>
      </c>
      <c r="U5" s="33" t="n">
        <v>1</v>
      </c>
      <c r="V5" s="33" t="n">
        <v>2</v>
      </c>
      <c r="W5" s="33" t="n">
        <v>3</v>
      </c>
      <c r="X5" s="33" t="n">
        <v>5</v>
      </c>
    </row>
    <row r="6" customFormat="false" ht="15" hidden="false" customHeight="false" outlineLevel="0" collapsed="false">
      <c r="A6" s="7" t="s">
        <v>239</v>
      </c>
      <c r="B6" s="7" t="s">
        <v>238</v>
      </c>
      <c r="C6" s="7" t="s">
        <v>426</v>
      </c>
      <c r="D6" s="22" t="n">
        <f aca="false">'Meat Cost &amp; Transfer'!$J$6</f>
        <v>7.45931446533743</v>
      </c>
      <c r="E6" s="33" t="n">
        <v>0.25</v>
      </c>
      <c r="F6" s="33" t="n">
        <v>0.5</v>
      </c>
      <c r="H6" s="33" t="n">
        <v>0.1875</v>
      </c>
      <c r="J6" s="33" t="n">
        <v>1</v>
      </c>
      <c r="U6" s="33" t="n">
        <v>2.5</v>
      </c>
      <c r="V6" s="33" t="n">
        <v>5</v>
      </c>
      <c r="W6" s="33" t="n">
        <v>7.5</v>
      </c>
      <c r="X6" s="33" t="n">
        <v>12.5</v>
      </c>
    </row>
    <row r="7" customFormat="false" ht="15" hidden="false" customHeight="false" outlineLevel="0" collapsed="false">
      <c r="A7" s="7" t="s">
        <v>427</v>
      </c>
      <c r="B7" s="7" t="s">
        <v>238</v>
      </c>
      <c r="C7" s="7" t="s">
        <v>426</v>
      </c>
      <c r="D7" s="22" t="n">
        <f aca="false">'Meat Cost &amp; Transfer'!$J$7</f>
        <v>11.2960382598926</v>
      </c>
      <c r="L7" s="33" t="n">
        <v>1</v>
      </c>
    </row>
    <row r="8" customFormat="false" ht="15" hidden="false" customHeight="false" outlineLevel="0" collapsed="false">
      <c r="A8" s="7" t="s">
        <v>428</v>
      </c>
      <c r="B8" s="7" t="s">
        <v>250</v>
      </c>
      <c r="C8" s="7" t="s">
        <v>426</v>
      </c>
      <c r="D8" s="22" t="n">
        <f aca="false">'Meat Cost &amp; Transfer'!$J$12</f>
        <v>1.49555669548121</v>
      </c>
      <c r="E8" s="33" t="n">
        <v>2</v>
      </c>
      <c r="F8" s="33" t="n">
        <v>6</v>
      </c>
      <c r="K8" s="33" t="n">
        <v>12</v>
      </c>
      <c r="U8" s="33" t="n">
        <v>6</v>
      </c>
      <c r="V8" s="33" t="n">
        <v>12</v>
      </c>
      <c r="W8" s="33" t="n">
        <v>18</v>
      </c>
      <c r="X8" s="33" t="n">
        <v>24</v>
      </c>
    </row>
    <row r="9" customFormat="false" ht="15" hidden="false" customHeight="false" outlineLevel="0" collapsed="false">
      <c r="A9" s="7" t="s">
        <v>243</v>
      </c>
      <c r="B9" s="7" t="s">
        <v>244</v>
      </c>
      <c r="C9" s="7" t="s">
        <v>426</v>
      </c>
      <c r="D9" s="22" t="n">
        <f aca="false">'Meat Cost &amp; Transfer'!$J$9</f>
        <v>0.759375</v>
      </c>
      <c r="E9" s="33" t="n">
        <v>1</v>
      </c>
      <c r="F9" s="33" t="n">
        <v>2</v>
      </c>
      <c r="N9" s="33" t="n">
        <v>1</v>
      </c>
      <c r="U9" s="33" t="n">
        <v>3</v>
      </c>
      <c r="V9" s="33" t="n">
        <v>6</v>
      </c>
      <c r="W9" s="33" t="n">
        <v>9</v>
      </c>
      <c r="X9" s="33" t="n">
        <v>15</v>
      </c>
    </row>
    <row r="10" customFormat="false" ht="15" hidden="false" customHeight="false" outlineLevel="0" collapsed="false">
      <c r="A10" s="7" t="s">
        <v>246</v>
      </c>
      <c r="B10" s="7" t="s">
        <v>247</v>
      </c>
      <c r="C10" s="7" t="s">
        <v>426</v>
      </c>
      <c r="D10" s="22" t="n">
        <f aca="false">'Meat Cost &amp; Transfer'!$J$10</f>
        <v>2.2194057389839</v>
      </c>
      <c r="E10" s="33" t="n">
        <v>1</v>
      </c>
      <c r="F10" s="33" t="n">
        <v>2</v>
      </c>
      <c r="M10" s="33" t="n">
        <v>1</v>
      </c>
      <c r="U10" s="33" t="n">
        <v>4</v>
      </c>
      <c r="V10" s="33" t="n">
        <v>8</v>
      </c>
      <c r="W10" s="33" t="n">
        <v>12</v>
      </c>
      <c r="X10" s="33" t="n">
        <v>20</v>
      </c>
    </row>
    <row r="11" customFormat="false" ht="15" hidden="false" customHeight="false" outlineLevel="0" collapsed="false">
      <c r="A11" s="7" t="s">
        <v>429</v>
      </c>
      <c r="B11" s="7" t="s">
        <v>271</v>
      </c>
      <c r="C11" s="7" t="s">
        <v>430</v>
      </c>
      <c r="D11" s="22" t="n">
        <f aca="false">'Sides &amp; Ingredients'!$E$26</f>
        <v>0.2322734375</v>
      </c>
      <c r="E11" s="33" t="n">
        <v>8</v>
      </c>
      <c r="F11" s="33" t="n">
        <v>32</v>
      </c>
      <c r="O11" s="33" t="n">
        <v>6</v>
      </c>
      <c r="U11" s="33" t="n">
        <v>128</v>
      </c>
      <c r="V11" s="33" t="n">
        <v>256</v>
      </c>
      <c r="W11" s="33" t="n">
        <v>256</v>
      </c>
      <c r="X11" s="33" t="n">
        <v>512</v>
      </c>
    </row>
    <row r="12" customFormat="false" ht="15" hidden="false" customHeight="false" outlineLevel="0" collapsed="false">
      <c r="A12" s="7" t="s">
        <v>431</v>
      </c>
      <c r="B12" s="7" t="s">
        <v>271</v>
      </c>
      <c r="C12" s="7" t="s">
        <v>430</v>
      </c>
      <c r="D12" s="22" t="n">
        <f aca="false">'Sides &amp; Ingredients'!$E$39</f>
        <v>0.10172125</v>
      </c>
      <c r="E12" s="33" t="n">
        <v>8</v>
      </c>
      <c r="F12" s="33" t="n">
        <v>16</v>
      </c>
      <c r="P12" s="33" t="n">
        <v>6</v>
      </c>
      <c r="U12" s="33" t="n">
        <v>32</v>
      </c>
      <c r="V12" s="33" t="n">
        <v>128</v>
      </c>
      <c r="W12" s="33" t="n">
        <v>128</v>
      </c>
      <c r="X12" s="33" t="n">
        <v>256</v>
      </c>
    </row>
    <row r="13" customFormat="false" ht="15" hidden="false" customHeight="false" outlineLevel="0" collapsed="false">
      <c r="A13" s="7" t="s">
        <v>432</v>
      </c>
      <c r="B13" s="7" t="s">
        <v>271</v>
      </c>
      <c r="C13" s="7" t="s">
        <v>430</v>
      </c>
      <c r="D13" s="22" t="n">
        <f aca="false">'Sides &amp; Ingredients'!$E$51</f>
        <v>0.131044375</v>
      </c>
      <c r="Q13" s="33" t="n">
        <v>6</v>
      </c>
      <c r="U13" s="33" t="n">
        <v>32</v>
      </c>
      <c r="V13" s="33" t="n">
        <v>128</v>
      </c>
      <c r="W13" s="33" t="n">
        <v>128</v>
      </c>
      <c r="X13" s="33" t="n">
        <v>256</v>
      </c>
    </row>
    <row r="14" customFormat="false" ht="15" hidden="false" customHeight="false" outlineLevel="0" collapsed="false">
      <c r="A14" s="7" t="s">
        <v>433</v>
      </c>
      <c r="B14" s="7" t="s">
        <v>434</v>
      </c>
      <c r="C14" s="7" t="s">
        <v>430</v>
      </c>
      <c r="D14" s="22" t="n">
        <f aca="false">'Sides &amp; Ingredients'!$E$62</f>
        <v>1.5534375</v>
      </c>
      <c r="R14" s="33" t="n">
        <v>1</v>
      </c>
    </row>
    <row r="15" customFormat="false" ht="15" hidden="false" customHeight="false" outlineLevel="0" collapsed="false">
      <c r="A15" s="7" t="s">
        <v>435</v>
      </c>
      <c r="B15" s="7" t="s">
        <v>368</v>
      </c>
      <c r="C15" s="7" t="s">
        <v>430</v>
      </c>
      <c r="D15" s="22" t="n">
        <f aca="false">'Sides &amp; Ingredients'!$D$115</f>
        <v>0.2793</v>
      </c>
      <c r="E15" s="33" t="n">
        <v>4</v>
      </c>
      <c r="F15" s="33" t="n">
        <v>6</v>
      </c>
      <c r="U15" s="33" t="n">
        <v>20</v>
      </c>
      <c r="V15" s="33" t="n">
        <v>40</v>
      </c>
      <c r="W15" s="33" t="n">
        <v>60</v>
      </c>
      <c r="X15" s="33" t="n">
        <v>100</v>
      </c>
    </row>
    <row r="16" customFormat="false" ht="15" hidden="false" customHeight="false" outlineLevel="0" collapsed="false">
      <c r="A16" s="7" t="s">
        <v>436</v>
      </c>
      <c r="B16" s="7" t="s">
        <v>271</v>
      </c>
      <c r="C16" s="7" t="s">
        <v>430</v>
      </c>
      <c r="D16" s="22" t="n">
        <f aca="false">'Sides &amp; Ingredients'!$D$116</f>
        <v>0.1367</v>
      </c>
      <c r="E16" s="33" t="n">
        <v>1</v>
      </c>
      <c r="F16" s="33" t="n">
        <v>2</v>
      </c>
      <c r="U16" s="33" t="n">
        <v>8</v>
      </c>
      <c r="V16" s="33" t="n">
        <v>16</v>
      </c>
      <c r="W16" s="33" t="n">
        <v>32</v>
      </c>
      <c r="X16" s="33" t="n">
        <v>32</v>
      </c>
    </row>
    <row r="17" customFormat="false" ht="15" hidden="false" customHeight="false" outlineLevel="0" collapsed="false">
      <c r="A17" s="7" t="s">
        <v>437</v>
      </c>
      <c r="B17" s="7" t="s">
        <v>271</v>
      </c>
      <c r="C17" s="7" t="s">
        <v>430</v>
      </c>
      <c r="D17" s="22" t="n">
        <f aca="false">'Sides &amp; Ingredients'!$E$72</f>
        <v>0.08969</v>
      </c>
      <c r="E17" s="33" t="n">
        <v>1</v>
      </c>
      <c r="F17" s="33" t="n">
        <v>2</v>
      </c>
      <c r="G17" s="33" t="n">
        <v>0.5</v>
      </c>
      <c r="U17" s="33" t="n">
        <v>8</v>
      </c>
      <c r="V17" s="33" t="n">
        <v>16</v>
      </c>
      <c r="W17" s="33" t="n">
        <v>16</v>
      </c>
      <c r="X17" s="33" t="n">
        <v>16</v>
      </c>
    </row>
    <row r="18" customFormat="false" ht="15" hidden="false" customHeight="false" outlineLevel="0" collapsed="false">
      <c r="A18" s="7" t="s">
        <v>438</v>
      </c>
      <c r="B18" s="7" t="s">
        <v>271</v>
      </c>
      <c r="C18" s="7" t="s">
        <v>430</v>
      </c>
      <c r="D18" s="22" t="n">
        <f aca="false">'Sides &amp; Ingredients'!$E$13</f>
        <v>0.11041015625</v>
      </c>
      <c r="E18" s="33" t="n">
        <v>6</v>
      </c>
      <c r="F18" s="33" t="n">
        <v>6</v>
      </c>
      <c r="I18" s="33" t="n">
        <v>2</v>
      </c>
      <c r="J18" s="33" t="n">
        <v>2</v>
      </c>
      <c r="K18" s="33" t="n">
        <v>2</v>
      </c>
      <c r="U18" s="33" t="n">
        <v>16</v>
      </c>
      <c r="V18" s="33" t="n">
        <v>32</v>
      </c>
      <c r="W18" s="33" t="n">
        <v>64</v>
      </c>
      <c r="X18" s="33" t="n">
        <v>64</v>
      </c>
    </row>
    <row r="19" customFormat="false" ht="15" hidden="false" customHeight="false" outlineLevel="0" collapsed="false">
      <c r="A19" s="7" t="s">
        <v>439</v>
      </c>
      <c r="B19" s="7" t="s">
        <v>244</v>
      </c>
      <c r="C19" s="7" t="s">
        <v>430</v>
      </c>
      <c r="D19" s="22" t="n">
        <f aca="false">'Sides &amp; Ingredients'!$D$117</f>
        <v>0.47</v>
      </c>
      <c r="G19" s="33" t="n">
        <v>1</v>
      </c>
      <c r="H19" s="33" t="n">
        <v>1</v>
      </c>
    </row>
    <row r="20" customFormat="false" ht="15" hidden="false" customHeight="false" outlineLevel="0" collapsed="false">
      <c r="A20" s="7" t="s">
        <v>440</v>
      </c>
      <c r="B20" s="7" t="s">
        <v>271</v>
      </c>
      <c r="C20" s="7" t="s">
        <v>430</v>
      </c>
      <c r="D20" s="22" t="n">
        <f aca="false">'Sides &amp; Ingredients'!$D$118</f>
        <v>0.2831</v>
      </c>
      <c r="G20" s="33" t="n">
        <v>1.5</v>
      </c>
      <c r="H20" s="33" t="n">
        <v>1.5</v>
      </c>
    </row>
    <row r="21" customFormat="false" ht="15" hidden="false" customHeight="false" outlineLevel="0" collapsed="false">
      <c r="A21" s="7" t="s">
        <v>441</v>
      </c>
      <c r="B21" s="7" t="s">
        <v>271</v>
      </c>
      <c r="C21" s="7" t="s">
        <v>430</v>
      </c>
      <c r="D21" s="22" t="n">
        <f aca="false">'Sides &amp; Ingredients'!$D$119</f>
        <v>0.2806</v>
      </c>
      <c r="H21" s="33" t="n">
        <v>2</v>
      </c>
    </row>
    <row r="22" customFormat="false" ht="15" hidden="false" customHeight="false" outlineLevel="0" collapsed="false">
      <c r="A22" s="7" t="s">
        <v>442</v>
      </c>
      <c r="B22" s="7" t="s">
        <v>271</v>
      </c>
      <c r="C22" s="7" t="s">
        <v>430</v>
      </c>
      <c r="D22" s="22" t="n">
        <f aca="false">'Sides &amp; Ingredients'!$D$120</f>
        <v>0.375</v>
      </c>
      <c r="H22" s="33" t="n">
        <v>1</v>
      </c>
    </row>
    <row r="23" customFormat="false" ht="15" hidden="false" customHeight="false" outlineLevel="0" collapsed="false">
      <c r="A23" s="7" t="s">
        <v>443</v>
      </c>
      <c r="B23" s="7" t="s">
        <v>271</v>
      </c>
      <c r="C23" s="7" t="s">
        <v>430</v>
      </c>
      <c r="D23" s="22" t="n">
        <f aca="false">'Sides &amp; Ingredients'!$E$82</f>
        <v>0.120725</v>
      </c>
      <c r="G23" s="33" t="n">
        <v>0.5</v>
      </c>
      <c r="H23" s="33" t="n">
        <v>0.75</v>
      </c>
    </row>
    <row r="24" customFormat="false" ht="15" hidden="false" customHeight="false" outlineLevel="0" collapsed="false">
      <c r="A24" s="7" t="s">
        <v>444</v>
      </c>
      <c r="B24" s="7" t="s">
        <v>271</v>
      </c>
      <c r="C24" s="7" t="s">
        <v>430</v>
      </c>
      <c r="D24" s="22" t="n">
        <f aca="false">'Sides &amp; Ingredients'!$E$91</f>
        <v>0.149881770833333</v>
      </c>
      <c r="H24" s="33" t="n">
        <v>0.5</v>
      </c>
    </row>
    <row r="25" customFormat="false" ht="15" hidden="false" customHeight="false" outlineLevel="0" collapsed="false">
      <c r="A25" s="7" t="s">
        <v>298</v>
      </c>
      <c r="B25" s="7" t="s">
        <v>271</v>
      </c>
      <c r="C25" s="7" t="s">
        <v>430</v>
      </c>
      <c r="D25" s="22" t="n">
        <f aca="false">'Sides &amp; Ingredients'!$D$121</f>
        <v>0.1459</v>
      </c>
      <c r="G25" s="33" t="n">
        <v>0.5</v>
      </c>
      <c r="H25" s="33" t="n">
        <v>0.5</v>
      </c>
    </row>
    <row r="26" customFormat="false" ht="15" hidden="false" customHeight="false" outlineLevel="0" collapsed="false">
      <c r="A26" s="7" t="s">
        <v>420</v>
      </c>
      <c r="B26" s="7" t="s">
        <v>244</v>
      </c>
      <c r="C26" s="7" t="s">
        <v>430</v>
      </c>
      <c r="D26" s="22" t="n">
        <f aca="false">'Sides &amp; Ingredients'!$D$128</f>
        <v>0.5242</v>
      </c>
      <c r="S26" s="33" t="n">
        <v>1</v>
      </c>
    </row>
    <row r="27" customFormat="false" ht="15" hidden="false" customHeight="false" outlineLevel="0" collapsed="false">
      <c r="A27" s="7" t="s">
        <v>445</v>
      </c>
      <c r="B27" s="7" t="s">
        <v>446</v>
      </c>
      <c r="C27" s="7" t="s">
        <v>430</v>
      </c>
      <c r="D27" s="22" t="n">
        <f aca="false">'Sides &amp; Ingredients'!$E$101</f>
        <v>0.5022</v>
      </c>
      <c r="T27" s="33" t="n">
        <v>1</v>
      </c>
    </row>
    <row r="28" customFormat="false" ht="15" hidden="false" customHeight="false" outlineLevel="0" collapsed="false">
      <c r="A28" s="7" t="s">
        <v>447</v>
      </c>
      <c r="B28" s="7" t="s">
        <v>271</v>
      </c>
      <c r="C28" s="7" t="s">
        <v>430</v>
      </c>
      <c r="D28" s="22" t="n">
        <f aca="false">'Sides &amp; Ingredients'!$E$111</f>
        <v>0.12663046875</v>
      </c>
      <c r="T28" s="33" t="n">
        <v>0.5</v>
      </c>
    </row>
    <row r="29" customFormat="false" ht="15" hidden="false" customHeight="false" outlineLevel="0" collapsed="false">
      <c r="A29" s="7" t="s">
        <v>448</v>
      </c>
      <c r="B29" s="7" t="s">
        <v>244</v>
      </c>
      <c r="C29" s="7" t="s">
        <v>449</v>
      </c>
      <c r="D29" s="22" t="n">
        <f aca="false">'Sides &amp; Ingredients'!$D$122</f>
        <v>2.326</v>
      </c>
      <c r="E29" s="33" t="n">
        <v>1</v>
      </c>
    </row>
    <row r="30" customFormat="false" ht="15" hidden="false" customHeight="false" outlineLevel="0" collapsed="false">
      <c r="A30" s="7" t="s">
        <v>450</v>
      </c>
      <c r="B30" s="7" t="s">
        <v>244</v>
      </c>
      <c r="C30" s="7" t="s">
        <v>449</v>
      </c>
      <c r="D30" s="22" t="n">
        <f aca="false">'Sides &amp; Ingredients'!$D$123</f>
        <v>3.858</v>
      </c>
      <c r="F30" s="33" t="n">
        <v>1</v>
      </c>
    </row>
    <row r="31" customFormat="false" ht="15" hidden="false" customHeight="false" outlineLevel="0" collapsed="false">
      <c r="A31" s="7" t="s">
        <v>451</v>
      </c>
      <c r="B31" s="7" t="s">
        <v>244</v>
      </c>
      <c r="C31" s="7" t="s">
        <v>449</v>
      </c>
      <c r="D31" s="22" t="n">
        <f aca="false">'Sides &amp; Ingredients'!$D$124</f>
        <v>0.302</v>
      </c>
      <c r="G31" s="33" t="n">
        <v>1</v>
      </c>
      <c r="H31" s="33" t="n">
        <v>1</v>
      </c>
    </row>
    <row r="32" customFormat="false" ht="15" hidden="false" customHeight="false" outlineLevel="0" collapsed="false">
      <c r="A32" s="7" t="s">
        <v>452</v>
      </c>
      <c r="B32" s="7" t="s">
        <v>244</v>
      </c>
      <c r="C32" s="7" t="s">
        <v>449</v>
      </c>
      <c r="D32" s="22" t="n">
        <f aca="false">'Sides &amp; Ingredients'!$D$125</f>
        <v>0.253</v>
      </c>
      <c r="O32" s="33" t="n">
        <v>1</v>
      </c>
      <c r="P32" s="33" t="n">
        <v>1</v>
      </c>
      <c r="Q32" s="33" t="n">
        <v>1</v>
      </c>
      <c r="T32" s="33" t="n">
        <v>1</v>
      </c>
    </row>
    <row r="33" customFormat="false" ht="15" hidden="false" customHeight="false" outlineLevel="0" collapsed="false">
      <c r="A33" s="7" t="s">
        <v>453</v>
      </c>
      <c r="B33" s="7" t="s">
        <v>244</v>
      </c>
      <c r="C33" s="7" t="s">
        <v>449</v>
      </c>
      <c r="D33" s="22" t="n">
        <f aca="false">'Sides &amp; Ingredients'!$D$126</f>
        <v>0.303</v>
      </c>
      <c r="R33" s="33" t="n">
        <v>1</v>
      </c>
    </row>
    <row r="34" customFormat="false" ht="15" hidden="false" customHeight="false" outlineLevel="0" collapsed="false">
      <c r="A34" s="7" t="s">
        <v>454</v>
      </c>
      <c r="B34" s="7" t="s">
        <v>244</v>
      </c>
      <c r="C34" s="7" t="s">
        <v>449</v>
      </c>
      <c r="D34" s="22" t="n">
        <f aca="false">'Sides &amp; Ingredients'!$D$127</f>
        <v>1.944</v>
      </c>
      <c r="I34" s="33" t="n">
        <v>1</v>
      </c>
      <c r="J34" s="33" t="n">
        <v>1</v>
      </c>
      <c r="K34" s="33" t="n">
        <v>1</v>
      </c>
      <c r="L34" s="33" t="n">
        <v>1</v>
      </c>
    </row>
    <row r="35" customFormat="false" ht="15" hidden="false" customHeight="false" outlineLevel="0" collapsed="false">
      <c r="A35" s="7" t="s">
        <v>455</v>
      </c>
      <c r="B35" s="7" t="s">
        <v>244</v>
      </c>
      <c r="C35" s="7" t="s">
        <v>449</v>
      </c>
      <c r="D35" s="22" t="n">
        <f aca="false">'Sides &amp; Ingredients'!$D$129</f>
        <v>11.016</v>
      </c>
      <c r="U35" s="33" t="n">
        <v>1</v>
      </c>
    </row>
    <row r="36" customFormat="false" ht="15" hidden="false" customHeight="false" outlineLevel="0" collapsed="false">
      <c r="A36" s="7" t="s">
        <v>456</v>
      </c>
      <c r="B36" s="7" t="s">
        <v>244</v>
      </c>
      <c r="C36" s="7" t="s">
        <v>449</v>
      </c>
      <c r="D36" s="22" t="n">
        <f aca="false">'Sides &amp; Ingredients'!$D$130</f>
        <v>19.738</v>
      </c>
      <c r="V36" s="33" t="n">
        <v>1</v>
      </c>
    </row>
    <row r="37" customFormat="false" ht="15" hidden="false" customHeight="false" outlineLevel="0" collapsed="false">
      <c r="A37" s="7" t="s">
        <v>457</v>
      </c>
      <c r="B37" s="7" t="s">
        <v>244</v>
      </c>
      <c r="C37" s="7" t="s">
        <v>449</v>
      </c>
      <c r="D37" s="22" t="n">
        <f aca="false">'Sides &amp; Ingredients'!$D$131</f>
        <v>25.997</v>
      </c>
      <c r="W37" s="33" t="n">
        <v>1</v>
      </c>
    </row>
    <row r="38" customFormat="false" ht="15" hidden="false" customHeight="false" outlineLevel="0" collapsed="false">
      <c r="A38" s="7" t="s">
        <v>458</v>
      </c>
      <c r="B38" s="7" t="s">
        <v>244</v>
      </c>
      <c r="C38" s="7" t="s">
        <v>449</v>
      </c>
      <c r="D38" s="22" t="n">
        <f aca="false">'Sides &amp; Ingredients'!$D$132</f>
        <v>42.347</v>
      </c>
      <c r="X38" s="33" t="n">
        <v>1</v>
      </c>
    </row>
    <row r="40" customFormat="false" ht="15" hidden="false" customHeight="false" outlineLevel="0" collapsed="false">
      <c r="A40" s="7" t="s">
        <v>459</v>
      </c>
      <c r="E40" s="29" t="n">
        <f aca="false">SUMPRODUCT(($C$5:$C$38="Meat")*E$5:E$38*$D$5:$D$38)</f>
        <v>12.1672842242485</v>
      </c>
      <c r="F40" s="29" t="n">
        <f aca="false">SUMPRODUCT(($C$5:$C$38="Meat")*F$5:F$38*$D$5:$D$38)</f>
        <v>27.3256818394594</v>
      </c>
      <c r="G40" s="29" t="n">
        <f aca="false">SUMPRODUCT(($C$5:$C$38="Meat")*G$5:G$38*$D$5:$D$38)</f>
        <v>4.33256147796779</v>
      </c>
      <c r="H40" s="29" t="n">
        <f aca="false">SUMPRODUCT(($C$5:$C$38="Meat")*H$5:H$38*$D$5:$D$38)</f>
        <v>1.39862146225077</v>
      </c>
      <c r="I40" s="29" t="n">
        <f aca="false">SUMPRODUCT(($C$5:$C$38="Meat")*I$5:I$38*$D$5:$D$38)</f>
        <v>17.3302459118712</v>
      </c>
      <c r="J40" s="29" t="n">
        <f aca="false">SUMPRODUCT(($C$5:$C$38="Meat")*J$5:J$38*$D$5:$D$38)</f>
        <v>7.45931446533743</v>
      </c>
      <c r="K40" s="29" t="n">
        <f aca="false">SUMPRODUCT(($C$5:$C$38="Meat")*K$5:K$38*$D$5:$D$38)</f>
        <v>17.9466803457746</v>
      </c>
      <c r="L40" s="29" t="n">
        <f aca="false">SUMPRODUCT(($C$5:$C$38="Meat")*L$5:L$38*$D$5:$D$38)</f>
        <v>11.2960382598926</v>
      </c>
      <c r="M40" s="29" t="n">
        <f aca="false">SUMPRODUCT(($C$5:$C$38="Meat")*M$5:M$38*$D$5:$D$38)</f>
        <v>2.2194057389839</v>
      </c>
      <c r="N40" s="29" t="n">
        <f aca="false">SUMPRODUCT(($C$5:$C$38="Meat")*N$5:N$38*$D$5:$D$38)</f>
        <v>0.759375</v>
      </c>
      <c r="O40" s="29" t="n">
        <f aca="false">SUMPRODUCT(($C$5:$C$38="Meat")*O$5:O$38*$D$5:$D$38)</f>
        <v>0</v>
      </c>
      <c r="P40" s="29" t="n">
        <f aca="false">SUMPRODUCT(($C$5:$C$38="Meat")*P$5:P$38*$D$5:$D$38)</f>
        <v>0</v>
      </c>
      <c r="Q40" s="29" t="n">
        <f aca="false">SUMPRODUCT(($C$5:$C$38="Meat")*Q$5:Q$38*$D$5:$D$38)</f>
        <v>0</v>
      </c>
      <c r="R40" s="29" t="n">
        <f aca="false">SUMPRODUCT(($C$5:$C$38="Meat")*R$5:R$38*$D$5:$D$38)</f>
        <v>0</v>
      </c>
      <c r="S40" s="29" t="n">
        <f aca="false">SUMPRODUCT(($C$5:$C$38="Meat")*S$5:S$38*$D$5:$D$38)</f>
        <v>0</v>
      </c>
      <c r="T40" s="29" t="n">
        <f aca="false">SUMPRODUCT(($C$5:$C$38="Meat")*T$5:T$38*$D$5:$D$38)</f>
        <v>0</v>
      </c>
      <c r="U40" s="29" t="n">
        <f aca="false">SUMPRODUCT(($C$5:$C$38="Meat")*U$5:U$38*$D$5:$D$38)</f>
        <v>56.1076202040376</v>
      </c>
      <c r="V40" s="29" t="n">
        <f aca="false">SUMPRODUCT(($C$5:$C$38="Meat")*V$5:V$38*$D$5:$D$38)</f>
        <v>112.215240408075</v>
      </c>
      <c r="W40" s="29" t="n">
        <f aca="false">SUMPRODUCT(($C$5:$C$38="Meat")*W$5:W$38*$D$5:$D$38)</f>
        <v>168.322860612113</v>
      </c>
      <c r="X40" s="29" t="n">
        <f aca="false">SUMPRODUCT(($C$5:$C$38="Meat")*X$5:X$38*$D$5:$D$38)</f>
        <v>271.564760847301</v>
      </c>
    </row>
    <row r="41" customFormat="false" ht="15" hidden="false" customHeight="false" outlineLevel="0" collapsed="false">
      <c r="A41" s="7" t="s">
        <v>460</v>
      </c>
      <c r="E41" s="29" t="n">
        <f aca="false">SUMPRODUCT(($C$5:$C$38="Food")*E$5:E$38*$D$5:$D$38)</f>
        <v>4.6780084375</v>
      </c>
      <c r="F41" s="29" t="n">
        <f aca="false">SUMPRODUCT(($C$5:$C$38="Food")*F$5:F$38*$D$5:$D$38)</f>
        <v>11.8513309375</v>
      </c>
      <c r="G41" s="29" t="n">
        <f aca="false">SUMPRODUCT(($C$5:$C$38="Food")*G$5:G$38*$D$5:$D$38)</f>
        <v>1.0728075</v>
      </c>
      <c r="H41" s="29" t="n">
        <f aca="false">SUMPRODUCT(($C$5:$C$38="Food")*H$5:H$38*$D$5:$D$38)</f>
        <v>2.06928463541667</v>
      </c>
      <c r="I41" s="29" t="n">
        <f aca="false">SUMPRODUCT(($C$5:$C$38="Food")*I$5:I$38*$D$5:$D$38)</f>
        <v>0.2208203125</v>
      </c>
      <c r="J41" s="29" t="n">
        <f aca="false">SUMPRODUCT(($C$5:$C$38="Food")*J$5:J$38*$D$5:$D$38)</f>
        <v>0.2208203125</v>
      </c>
      <c r="K41" s="29" t="n">
        <f aca="false">SUMPRODUCT(($C$5:$C$38="Food")*K$5:K$38*$D$5:$D$38)</f>
        <v>0.2208203125</v>
      </c>
      <c r="L41" s="29" t="n">
        <f aca="false">SUMPRODUCT(($C$5:$C$38="Food")*L$5:L$38*$D$5:$D$38)</f>
        <v>0</v>
      </c>
      <c r="M41" s="29" t="n">
        <f aca="false">SUMPRODUCT(($C$5:$C$38="Food")*M$5:M$38*$D$5:$D$38)</f>
        <v>0</v>
      </c>
      <c r="N41" s="29" t="n">
        <f aca="false">SUMPRODUCT(($C$5:$C$38="Food")*N$5:N$38*$D$5:$D$38)</f>
        <v>0</v>
      </c>
      <c r="O41" s="29" t="n">
        <f aca="false">SUMPRODUCT(($C$5:$C$38="Food")*O$5:O$38*$D$5:$D$38)</f>
        <v>1.393640625</v>
      </c>
      <c r="P41" s="29" t="n">
        <f aca="false">SUMPRODUCT(($C$5:$C$38="Food")*P$5:P$38*$D$5:$D$38)</f>
        <v>0.6103275</v>
      </c>
      <c r="Q41" s="29" t="n">
        <f aca="false">SUMPRODUCT(($C$5:$C$38="Food")*Q$5:Q$38*$D$5:$D$38)</f>
        <v>0.78626625</v>
      </c>
      <c r="R41" s="29" t="n">
        <f aca="false">SUMPRODUCT(($C$5:$C$38="Food")*R$5:R$38*$D$5:$D$38)</f>
        <v>1.5534375</v>
      </c>
      <c r="S41" s="29" t="n">
        <f aca="false">SUMPRODUCT(($C$5:$C$38="Food")*S$5:S$38*$D$5:$D$38)</f>
        <v>0.5242</v>
      </c>
      <c r="T41" s="29" t="n">
        <f aca="false">SUMPRODUCT(($C$5:$C$38="Food")*T$5:T$38*$D$5:$D$38)</f>
        <v>0.565515234375</v>
      </c>
      <c r="U41" s="29" t="n">
        <f aca="false">SUMPRODUCT(($C$5:$C$38="Food")*U$5:U$38*$D$5:$D$38)</f>
        <v>46.3431825</v>
      </c>
      <c r="V41" s="29" t="n">
        <f aca="false">SUMPRODUCT(($C$5:$C$38="Food")*V$5:V$38*$D$5:$D$38)</f>
        <v>107.583365</v>
      </c>
      <c r="W41" s="29" t="n">
        <f aca="false">SUMPRODUCT(($C$5:$C$38="Food")*W$5:W$38*$D$5:$D$38)</f>
        <v>118.88969</v>
      </c>
      <c r="X41" s="29" t="n">
        <f aca="false">SUMPRODUCT(($C$5:$C$38="Food")*X$5:X$38*$D$5:$D$38)</f>
        <v>219.31769</v>
      </c>
    </row>
    <row r="42" customFormat="false" ht="15" hidden="false" customHeight="false" outlineLevel="0" collapsed="false">
      <c r="A42" s="7" t="s">
        <v>449</v>
      </c>
      <c r="E42" s="29" t="n">
        <f aca="false">SUMPRODUCT(($C$5:$C$38="Packaging")*E$5:E$38*$D$5:$D$38)</f>
        <v>2.326</v>
      </c>
      <c r="F42" s="29" t="n">
        <f aca="false">SUMPRODUCT(($C$5:$C$38="Packaging")*F$5:F$38*$D$5:$D$38)</f>
        <v>3.858</v>
      </c>
      <c r="G42" s="29" t="n">
        <f aca="false">SUMPRODUCT(($C$5:$C$38="Packaging")*G$5:G$38*$D$5:$D$38)</f>
        <v>0.302</v>
      </c>
      <c r="H42" s="29" t="n">
        <f aca="false">SUMPRODUCT(($C$5:$C$38="Packaging")*H$5:H$38*$D$5:$D$38)</f>
        <v>0.302</v>
      </c>
      <c r="I42" s="29" t="n">
        <f aca="false">SUMPRODUCT(($C$5:$C$38="Packaging")*I$5:I$38*$D$5:$D$38)</f>
        <v>1.944</v>
      </c>
      <c r="J42" s="29" t="n">
        <f aca="false">SUMPRODUCT(($C$5:$C$38="Packaging")*J$5:J$38*$D$5:$D$38)</f>
        <v>1.944</v>
      </c>
      <c r="K42" s="29" t="n">
        <f aca="false">SUMPRODUCT(($C$5:$C$38="Packaging")*K$5:K$38*$D$5:$D$38)</f>
        <v>1.944</v>
      </c>
      <c r="L42" s="29" t="n">
        <f aca="false">SUMPRODUCT(($C$5:$C$38="Packaging")*L$5:L$38*$D$5:$D$38)</f>
        <v>1.944</v>
      </c>
      <c r="M42" s="29" t="n">
        <f aca="false">SUMPRODUCT(($C$5:$C$38="Packaging")*M$5:M$38*$D$5:$D$38)</f>
        <v>0</v>
      </c>
      <c r="N42" s="29" t="n">
        <f aca="false">SUMPRODUCT(($C$5:$C$38="Packaging")*N$5:N$38*$D$5:$D$38)</f>
        <v>0</v>
      </c>
      <c r="O42" s="29" t="n">
        <f aca="false">SUMPRODUCT(($C$5:$C$38="Packaging")*O$5:O$38*$D$5:$D$38)</f>
        <v>0.253</v>
      </c>
      <c r="P42" s="29" t="n">
        <f aca="false">SUMPRODUCT(($C$5:$C$38="Packaging")*P$5:P$38*$D$5:$D$38)</f>
        <v>0.253</v>
      </c>
      <c r="Q42" s="29" t="n">
        <f aca="false">SUMPRODUCT(($C$5:$C$38="Packaging")*Q$5:Q$38*$D$5:$D$38)</f>
        <v>0.253</v>
      </c>
      <c r="R42" s="29" t="n">
        <f aca="false">SUMPRODUCT(($C$5:$C$38="Packaging")*R$5:R$38*$D$5:$D$38)</f>
        <v>0.303</v>
      </c>
      <c r="S42" s="29" t="n">
        <f aca="false">SUMPRODUCT(($C$5:$C$38="Packaging")*S$5:S$38*$D$5:$D$38)</f>
        <v>0</v>
      </c>
      <c r="T42" s="29" t="n">
        <f aca="false">SUMPRODUCT(($C$5:$C$38="Packaging")*T$5:T$38*$D$5:$D$38)</f>
        <v>0.253</v>
      </c>
      <c r="U42" s="29" t="n">
        <f aca="false">SUMPRODUCT(($C$5:$C$38="Packaging")*U$5:U$38*$D$5:$D$38)</f>
        <v>11.016</v>
      </c>
      <c r="V42" s="29" t="n">
        <f aca="false">SUMPRODUCT(($C$5:$C$38="Packaging")*V$5:V$38*$D$5:$D$38)</f>
        <v>19.738</v>
      </c>
      <c r="W42" s="29" t="n">
        <f aca="false">SUMPRODUCT(($C$5:$C$38="Packaging")*W$5:W$38*$D$5:$D$38)</f>
        <v>25.997</v>
      </c>
      <c r="X42" s="29" t="n">
        <f aca="false">SUMPRODUCT(($C$5:$C$38="Packaging")*X$5:X$38*$D$5:$D$38)</f>
        <v>42.347</v>
      </c>
    </row>
    <row r="43" customFormat="false" ht="15" hidden="false" customHeight="false" outlineLevel="0" collapsed="false">
      <c r="A43" s="34" t="s">
        <v>461</v>
      </c>
      <c r="B43" s="35"/>
      <c r="C43" s="35"/>
      <c r="D43" s="35"/>
      <c r="E43" s="36" t="n">
        <f aca="false">E40+E41+E42</f>
        <v>19.1712926617485</v>
      </c>
      <c r="F43" s="36" t="n">
        <f aca="false">F40+F41+F42</f>
        <v>43.0350127769594</v>
      </c>
      <c r="G43" s="36" t="n">
        <f aca="false">G40+G41+G42</f>
        <v>5.70736897796779</v>
      </c>
      <c r="H43" s="36" t="n">
        <f aca="false">H40+H41+H42</f>
        <v>3.76990609766744</v>
      </c>
      <c r="I43" s="36" t="n">
        <f aca="false">I40+I41+I42</f>
        <v>19.4950662243712</v>
      </c>
      <c r="J43" s="36" t="n">
        <f aca="false">J40+J41+J42</f>
        <v>9.62413477783743</v>
      </c>
      <c r="K43" s="36" t="n">
        <f aca="false">K40+K41+K42</f>
        <v>20.1115006582746</v>
      </c>
      <c r="L43" s="36" t="n">
        <f aca="false">L40+L41+L42</f>
        <v>13.2400382598927</v>
      </c>
      <c r="M43" s="36" t="n">
        <f aca="false">M40+M41+M42</f>
        <v>2.2194057389839</v>
      </c>
      <c r="N43" s="36" t="n">
        <f aca="false">N40+N41+N42</f>
        <v>0.759375</v>
      </c>
      <c r="O43" s="36" t="n">
        <f aca="false">O40+O41+O42</f>
        <v>1.646640625</v>
      </c>
      <c r="P43" s="36" t="n">
        <f aca="false">P40+P41+P42</f>
        <v>0.8633275</v>
      </c>
      <c r="Q43" s="36" t="n">
        <f aca="false">Q40+Q41+Q42</f>
        <v>1.03926625</v>
      </c>
      <c r="R43" s="36" t="n">
        <f aca="false">R40+R41+R42</f>
        <v>1.8564375</v>
      </c>
      <c r="S43" s="36" t="n">
        <f aca="false">S40+S41+S42</f>
        <v>0.5242</v>
      </c>
      <c r="T43" s="36" t="n">
        <f aca="false">T40+T41+T42</f>
        <v>0.818515234375</v>
      </c>
      <c r="U43" s="36" t="n">
        <f aca="false">U40+U41+U42</f>
        <v>113.466802704038</v>
      </c>
      <c r="V43" s="36" t="n">
        <f aca="false">V40+V41+V42</f>
        <v>239.536605408075</v>
      </c>
      <c r="W43" s="36" t="n">
        <f aca="false">W40+W41+W42</f>
        <v>313.209550612113</v>
      </c>
      <c r="X43" s="36" t="n">
        <f aca="false">X40+X41+X42</f>
        <v>533.229450847301</v>
      </c>
    </row>
    <row r="44" customFormat="false" ht="15" hidden="false" customHeight="false" outlineLevel="0" collapsed="false">
      <c r="A44" s="37" t="s">
        <v>462</v>
      </c>
      <c r="E44" s="38" t="n">
        <f aca="false">Assumptions!$B$50</f>
        <v>59.99</v>
      </c>
      <c r="F44" s="38" t="n">
        <f aca="false">Assumptions!$B$51</f>
        <v>119.99</v>
      </c>
      <c r="G44" s="38" t="n">
        <f aca="false">Assumptions!$B$52</f>
        <v>17.99</v>
      </c>
      <c r="H44" s="38" t="n">
        <f aca="false">Assumptions!$B$53</f>
        <v>14.99</v>
      </c>
      <c r="I44" s="38" t="n">
        <f aca="false">Assumptions!$B$54</f>
        <v>45.99</v>
      </c>
      <c r="J44" s="38" t="n">
        <f aca="false">Assumptions!$B$55</f>
        <v>18.99</v>
      </c>
      <c r="K44" s="38" t="n">
        <f aca="false">Assumptions!$B$56</f>
        <v>46.99</v>
      </c>
      <c r="L44" s="38" t="n">
        <f aca="false">Assumptions!$B$57</f>
        <v>36.99</v>
      </c>
      <c r="M44" s="38" t="n">
        <f aca="false">Assumptions!$B$58</f>
        <v>5.99</v>
      </c>
      <c r="N44" s="38" t="n">
        <f aca="false">Assumptions!$B$59</f>
        <v>7.99</v>
      </c>
      <c r="O44" s="38" t="n">
        <f aca="false">Assumptions!$B$60</f>
        <v>5.99</v>
      </c>
      <c r="P44" s="38" t="n">
        <f aca="false">Assumptions!$B$60</f>
        <v>5.99</v>
      </c>
      <c r="Q44" s="38" t="n">
        <f aca="false">Assumptions!$B$60</f>
        <v>5.99</v>
      </c>
      <c r="R44" s="38" t="n">
        <f aca="false">Assumptions!$B$61</f>
        <v>5.99</v>
      </c>
      <c r="S44" s="38" t="n">
        <f aca="false">Assumptions!$B$62</f>
        <v>2.99</v>
      </c>
      <c r="T44" s="38" t="n">
        <f aca="false">Assumptions!$B$63</f>
        <v>2.99</v>
      </c>
      <c r="U44" s="38" t="n">
        <f aca="false">Assumptions!$B$64</f>
        <v>289</v>
      </c>
      <c r="V44" s="38" t="n">
        <f aca="false">Assumptions!$B$65</f>
        <v>570</v>
      </c>
      <c r="W44" s="38" t="n">
        <f aca="false">Assumptions!$B$66</f>
        <v>825</v>
      </c>
      <c r="X44" s="38" t="n">
        <f aca="false">Assumptions!$B$67</f>
        <v>1350</v>
      </c>
    </row>
    <row r="45" customFormat="false" ht="15" hidden="false" customHeight="false" outlineLevel="0" collapsed="false">
      <c r="A45" s="31" t="s">
        <v>463</v>
      </c>
      <c r="E45" s="39" t="n">
        <f aca="false">IF(E44=0,0,E43/E44)</f>
        <v>0.31957480683028</v>
      </c>
      <c r="F45" s="39" t="n">
        <f aca="false">IF(F44=0,0,F43/F44)</f>
        <v>0.358654994390861</v>
      </c>
      <c r="G45" s="39" t="n">
        <f aca="false">IF(G44=0,0,G43/G44)</f>
        <v>0.31725230561244</v>
      </c>
      <c r="H45" s="39" t="n">
        <f aca="false">IF(H44=0,0,H43/H44)</f>
        <v>0.251494736335386</v>
      </c>
      <c r="I45" s="39" t="n">
        <f aca="false">IF(I44=0,0,I43/I44)</f>
        <v>0.423897939212246</v>
      </c>
      <c r="J45" s="39" t="n">
        <f aca="false">IF(J44=0,0,J43/J44)</f>
        <v>0.506800146278959</v>
      </c>
      <c r="K45" s="39" t="n">
        <f aca="false">IF(K44=0,0,K43/K44)</f>
        <v>0.427995332161621</v>
      </c>
      <c r="L45" s="39" t="n">
        <f aca="false">IF(L44=0,0,L43/L44)</f>
        <v>0.357935611243381</v>
      </c>
      <c r="M45" s="39" t="n">
        <f aca="false">IF(M44=0,0,M43/M44)</f>
        <v>0.370518487309499</v>
      </c>
      <c r="N45" s="39" t="n">
        <f aca="false">IF(N44=0,0,N43/N44)</f>
        <v>0.095040675844806</v>
      </c>
      <c r="O45" s="39" t="n">
        <f aca="false">IF(O44=0,0,O43/O44)</f>
        <v>0.274898267946578</v>
      </c>
      <c r="P45" s="39" t="n">
        <f aca="false">IF(P44=0,0,P43/P44)</f>
        <v>0.144128130217028</v>
      </c>
      <c r="Q45" s="39" t="n">
        <f aca="false">IF(Q44=0,0,Q43/Q44)</f>
        <v>0.173500208681135</v>
      </c>
      <c r="R45" s="39" t="n">
        <f aca="false">IF(R44=0,0,R43/R44)</f>
        <v>0.309922787979967</v>
      </c>
      <c r="S45" s="39" t="n">
        <f aca="false">IF(S44=0,0,S43/S44)</f>
        <v>0.175317725752508</v>
      </c>
      <c r="T45" s="39" t="n">
        <f aca="false">IF(T44=0,0,T43/T44)</f>
        <v>0.273750914506689</v>
      </c>
      <c r="U45" s="39" t="n">
        <f aca="false">IF(U44=0,0,U43/U44)</f>
        <v>0.392618694477639</v>
      </c>
      <c r="V45" s="39" t="n">
        <f aca="false">IF(V44=0,0,V43/V44)</f>
        <v>0.420239658610658</v>
      </c>
      <c r="W45" s="39" t="n">
        <f aca="false">IF(W44=0,0,W43/W44)</f>
        <v>0.379647940135894</v>
      </c>
      <c r="X45" s="39" t="n">
        <f aca="false">IF(X44=0,0,X43/X44)</f>
        <v>0.394984778405408</v>
      </c>
    </row>
    <row r="46" customFormat="false" ht="15" hidden="false" customHeight="false" outlineLevel="0" collapsed="false">
      <c r="A46" s="31" t="s">
        <v>464</v>
      </c>
      <c r="E46" s="30" t="n">
        <f aca="false">E44-E43</f>
        <v>40.8187073382515</v>
      </c>
      <c r="F46" s="30" t="n">
        <f aca="false">F44-F43</f>
        <v>76.9549872230406</v>
      </c>
      <c r="G46" s="30" t="n">
        <f aca="false">G44-G43</f>
        <v>12.2826310220322</v>
      </c>
      <c r="H46" s="30" t="n">
        <f aca="false">H44-H43</f>
        <v>11.2200939023326</v>
      </c>
      <c r="I46" s="30" t="n">
        <f aca="false">I44-I43</f>
        <v>26.4949337756288</v>
      </c>
      <c r="J46" s="30" t="n">
        <f aca="false">J44-J43</f>
        <v>9.36586522216257</v>
      </c>
      <c r="K46" s="30" t="n">
        <f aca="false">K44-K43</f>
        <v>26.8784993417254</v>
      </c>
      <c r="L46" s="30" t="n">
        <f aca="false">L44-L43</f>
        <v>23.7499617401074</v>
      </c>
      <c r="M46" s="30" t="n">
        <f aca="false">M44-M43</f>
        <v>3.7705942610161</v>
      </c>
      <c r="N46" s="30" t="n">
        <f aca="false">N44-N43</f>
        <v>7.230625</v>
      </c>
      <c r="O46" s="30" t="n">
        <f aca="false">O44-O43</f>
        <v>4.343359375</v>
      </c>
      <c r="P46" s="30" t="n">
        <f aca="false">P44-P43</f>
        <v>5.1266725</v>
      </c>
      <c r="Q46" s="30" t="n">
        <f aca="false">Q44-Q43</f>
        <v>4.95073375</v>
      </c>
      <c r="R46" s="30" t="n">
        <f aca="false">R44-R43</f>
        <v>4.1335625</v>
      </c>
      <c r="S46" s="30" t="n">
        <f aca="false">S44-S43</f>
        <v>2.4658</v>
      </c>
      <c r="T46" s="30" t="n">
        <f aca="false">T44-T43</f>
        <v>2.171484765625</v>
      </c>
      <c r="U46" s="30" t="n">
        <f aca="false">U44-U43</f>
        <v>175.533197295962</v>
      </c>
      <c r="V46" s="30" t="n">
        <f aca="false">V44-V43</f>
        <v>330.463394591925</v>
      </c>
      <c r="W46" s="30" t="n">
        <f aca="false">W44-W43</f>
        <v>511.790449387887</v>
      </c>
      <c r="X46" s="30" t="n">
        <f aca="false">X44-X43</f>
        <v>816.770549152699</v>
      </c>
    </row>
    <row r="47" customFormat="false" ht="15" hidden="false" customHeight="false" outlineLevel="0" collapsed="false">
      <c r="A47" s="7" t="s">
        <v>465</v>
      </c>
      <c r="E47" s="29" t="n">
        <f aca="false">E40-E40/(1+Assumptions!$B$12)</f>
        <v>2.4334568448497</v>
      </c>
      <c r="F47" s="29" t="n">
        <f aca="false">F40-F40/(1+Assumptions!$B$12)</f>
        <v>5.46513636789188</v>
      </c>
      <c r="G47" s="29" t="n">
        <f aca="false">G40-G40/(1+Assumptions!$B$12)</f>
        <v>0.866512295593559</v>
      </c>
      <c r="H47" s="29" t="n">
        <f aca="false">H40-H40/(1+Assumptions!$B$12)</f>
        <v>0.279724292450154</v>
      </c>
      <c r="I47" s="29" t="n">
        <f aca="false">I40-I40/(1+Assumptions!$B$12)</f>
        <v>3.46604918237423</v>
      </c>
      <c r="J47" s="29" t="n">
        <f aca="false">J40-J40/(1+Assumptions!$B$12)</f>
        <v>1.49186289306749</v>
      </c>
      <c r="K47" s="29" t="n">
        <f aca="false">K40-K40/(1+Assumptions!$B$12)</f>
        <v>3.58933606915491</v>
      </c>
      <c r="L47" s="29" t="n">
        <f aca="false">L40-L40/(1+Assumptions!$B$12)</f>
        <v>2.25920765197853</v>
      </c>
      <c r="M47" s="29" t="n">
        <f aca="false">M40-M40/(1+Assumptions!$B$12)</f>
        <v>0.443881147796779</v>
      </c>
      <c r="N47" s="29" t="n">
        <f aca="false">N40-N40/(1+Assumptions!$B$12)</f>
        <v>0.151875</v>
      </c>
      <c r="O47" s="29" t="n">
        <f aca="false">O40-O40/(1+Assumptions!$B$12)</f>
        <v>0</v>
      </c>
      <c r="P47" s="29" t="n">
        <f aca="false">P40-P40/(1+Assumptions!$B$12)</f>
        <v>0</v>
      </c>
      <c r="Q47" s="29" t="n">
        <f aca="false">Q40-Q40/(1+Assumptions!$B$12)</f>
        <v>0</v>
      </c>
      <c r="R47" s="29" t="n">
        <f aca="false">R40-R40/(1+Assumptions!$B$12)</f>
        <v>0</v>
      </c>
      <c r="S47" s="29" t="n">
        <f aca="false">S40-S40/(1+Assumptions!$B$12)</f>
        <v>0</v>
      </c>
      <c r="T47" s="29" t="n">
        <f aca="false">T40-T40/(1+Assumptions!$B$12)</f>
        <v>0</v>
      </c>
      <c r="U47" s="29" t="n">
        <f aca="false">U40-U40/(1+Assumptions!$B$12)</f>
        <v>11.2215240408075</v>
      </c>
      <c r="V47" s="29" t="n">
        <f aca="false">V40-V40/(1+Assumptions!$B$12)</f>
        <v>22.443048081615</v>
      </c>
      <c r="W47" s="29" t="n">
        <f aca="false">W40-W40/(1+Assumptions!$B$12)</f>
        <v>33.6645721224226</v>
      </c>
      <c r="X47" s="29" t="n">
        <f aca="false">X40-X40/(1+Assumptions!$B$12)</f>
        <v>54.3129521694602</v>
      </c>
    </row>
    <row r="49" customFormat="false" ht="15" hidden="false" customHeight="false" outlineLevel="0" collapsed="false">
      <c r="A49" s="3" t="s">
        <v>466</v>
      </c>
    </row>
    <row r="50" customFormat="false" ht="15" hidden="false" customHeight="false" outlineLevel="0" collapsed="false">
      <c r="A50" s="3"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5" min="3" style="0" width="13"/>
    <col collapsed="false" customWidth="true" hidden="false" outlineLevel="0" max="6" min="6" style="0" width="4"/>
    <col collapsed="false" customWidth="true" hidden="false" outlineLevel="0" max="9" min="7" style="0" width="14"/>
  </cols>
  <sheetData>
    <row r="1" customFormat="false" ht="17.35" hidden="false" customHeight="false" outlineLevel="0" collapsed="false">
      <c r="A1" s="1" t="s">
        <v>468</v>
      </c>
      <c r="B1" s="2"/>
      <c r="C1" s="2"/>
      <c r="D1" s="2"/>
      <c r="E1" s="2"/>
      <c r="F1" s="2"/>
      <c r="G1" s="2"/>
      <c r="H1" s="2"/>
      <c r="I1" s="2"/>
    </row>
    <row r="2" customFormat="false" ht="15" hidden="false" customHeight="false" outlineLevel="0" collapsed="false">
      <c r="A2" s="3" t="s">
        <v>469</v>
      </c>
    </row>
    <row r="4" customFormat="false" ht="31.5" hidden="false" customHeight="true" outlineLevel="0" collapsed="false">
      <c r="A4" s="4" t="s">
        <v>470</v>
      </c>
      <c r="B4" s="4" t="s">
        <v>471</v>
      </c>
      <c r="C4" s="4" t="s">
        <v>472</v>
      </c>
      <c r="D4" s="4" t="s">
        <v>473</v>
      </c>
      <c r="E4" s="4" t="s">
        <v>474</v>
      </c>
      <c r="F4" s="4"/>
      <c r="G4" s="4" t="s">
        <v>475</v>
      </c>
      <c r="H4" s="4" t="s">
        <v>476</v>
      </c>
      <c r="I4" s="4" t="s">
        <v>477</v>
      </c>
    </row>
    <row r="5" customFormat="false" ht="15" hidden="false" customHeight="false" outlineLevel="0" collapsed="false">
      <c r="A5" s="7" t="s">
        <v>408</v>
      </c>
      <c r="B5" s="38" t="n">
        <f aca="false">Assumptions!$B$50</f>
        <v>59.99</v>
      </c>
      <c r="C5" s="25" t="n">
        <v>14</v>
      </c>
      <c r="D5" s="40" t="n">
        <f aca="false">C5*Assumptions!$B$7</f>
        <v>9.1</v>
      </c>
      <c r="E5" s="40" t="n">
        <f aca="false">C5*Assumptions!$B$9</f>
        <v>19.6</v>
      </c>
      <c r="G5" s="41" t="n">
        <f aca="false">B5*D5</f>
        <v>545.909</v>
      </c>
      <c r="H5" s="41" t="n">
        <f aca="false">B5*C5</f>
        <v>839.86</v>
      </c>
      <c r="I5" s="41" t="n">
        <f aca="false">B5*E5</f>
        <v>1175.804</v>
      </c>
    </row>
    <row r="6" customFormat="false" ht="15" hidden="false" customHeight="false" outlineLevel="0" collapsed="false">
      <c r="A6" s="7" t="s">
        <v>409</v>
      </c>
      <c r="B6" s="38" t="n">
        <f aca="false">Assumptions!$B$51</f>
        <v>119.99</v>
      </c>
      <c r="C6" s="25" t="n">
        <v>3</v>
      </c>
      <c r="D6" s="40" t="n">
        <f aca="false">C6*Assumptions!$B$7</f>
        <v>1.95</v>
      </c>
      <c r="E6" s="40" t="n">
        <f aca="false">C6*Assumptions!$B$9</f>
        <v>4.2</v>
      </c>
      <c r="G6" s="41" t="n">
        <f aca="false">B6*D6</f>
        <v>233.9805</v>
      </c>
      <c r="H6" s="41" t="n">
        <f aca="false">B6*C6</f>
        <v>359.97</v>
      </c>
      <c r="I6" s="41" t="n">
        <f aca="false">B6*E6</f>
        <v>503.958</v>
      </c>
    </row>
    <row r="7" customFormat="false" ht="15" hidden="false" customHeight="false" outlineLevel="0" collapsed="false">
      <c r="A7" s="7" t="s">
        <v>148</v>
      </c>
      <c r="B7" s="38" t="n">
        <f aca="false">Assumptions!$B$52</f>
        <v>17.99</v>
      </c>
      <c r="C7" s="25" t="n">
        <v>22</v>
      </c>
      <c r="D7" s="40" t="n">
        <f aca="false">C7*Assumptions!$B$7</f>
        <v>14.3</v>
      </c>
      <c r="E7" s="40" t="n">
        <f aca="false">C7*Assumptions!$B$9</f>
        <v>30.8</v>
      </c>
      <c r="G7" s="41" t="n">
        <f aca="false">B7*D7</f>
        <v>257.257</v>
      </c>
      <c r="H7" s="41" t="n">
        <f aca="false">B7*C7</f>
        <v>395.78</v>
      </c>
      <c r="I7" s="41" t="n">
        <f aca="false">B7*E7</f>
        <v>554.092</v>
      </c>
    </row>
    <row r="8" customFormat="false" ht="15" hidden="false" customHeight="false" outlineLevel="0" collapsed="false">
      <c r="A8" s="7" t="s">
        <v>150</v>
      </c>
      <c r="B8" s="38" t="n">
        <f aca="false">Assumptions!$B$53</f>
        <v>14.99</v>
      </c>
      <c r="C8" s="25" t="n">
        <v>25</v>
      </c>
      <c r="D8" s="40" t="n">
        <f aca="false">C8*Assumptions!$B$7</f>
        <v>16.25</v>
      </c>
      <c r="E8" s="40" t="n">
        <f aca="false">C8*Assumptions!$B$9</f>
        <v>35</v>
      </c>
      <c r="G8" s="41" t="n">
        <f aca="false">B8*D8</f>
        <v>243.5875</v>
      </c>
      <c r="H8" s="41" t="n">
        <f aca="false">B8*C8</f>
        <v>374.75</v>
      </c>
      <c r="I8" s="41" t="n">
        <f aca="false">B8*E8</f>
        <v>524.65</v>
      </c>
    </row>
    <row r="9" customFormat="false" ht="15" hidden="false" customHeight="false" outlineLevel="0" collapsed="false">
      <c r="A9" s="7" t="s">
        <v>410</v>
      </c>
      <c r="B9" s="38" t="n">
        <f aca="false">Assumptions!$B$54</f>
        <v>45.99</v>
      </c>
      <c r="C9" s="25" t="n">
        <v>5</v>
      </c>
      <c r="D9" s="40" t="n">
        <f aca="false">C9*Assumptions!$B$7</f>
        <v>3.25</v>
      </c>
      <c r="E9" s="40" t="n">
        <f aca="false">C9*Assumptions!$B$9</f>
        <v>7</v>
      </c>
      <c r="G9" s="41" t="n">
        <f aca="false">B9*D9</f>
        <v>149.4675</v>
      </c>
      <c r="H9" s="41" t="n">
        <f aca="false">B9*C9</f>
        <v>229.95</v>
      </c>
      <c r="I9" s="41" t="n">
        <f aca="false">B9*E9</f>
        <v>321.93</v>
      </c>
    </row>
    <row r="10" customFormat="false" ht="15" hidden="false" customHeight="false" outlineLevel="0" collapsed="false">
      <c r="A10" s="7" t="s">
        <v>411</v>
      </c>
      <c r="B10" s="38" t="n">
        <f aca="false">Assumptions!$B$55</f>
        <v>18.99</v>
      </c>
      <c r="C10" s="25" t="n">
        <v>3</v>
      </c>
      <c r="D10" s="40" t="n">
        <f aca="false">C10*Assumptions!$B$7</f>
        <v>1.95</v>
      </c>
      <c r="E10" s="40" t="n">
        <f aca="false">C10*Assumptions!$B$9</f>
        <v>4.2</v>
      </c>
      <c r="G10" s="41" t="n">
        <f aca="false">B10*D10</f>
        <v>37.0305</v>
      </c>
      <c r="H10" s="41" t="n">
        <f aca="false">B10*C10</f>
        <v>56.97</v>
      </c>
      <c r="I10" s="41" t="n">
        <f aca="false">B10*E10</f>
        <v>79.758</v>
      </c>
    </row>
    <row r="11" customFormat="false" ht="15" hidden="false" customHeight="false" outlineLevel="0" collapsed="false">
      <c r="A11" s="7" t="s">
        <v>412</v>
      </c>
      <c r="B11" s="38" t="n">
        <f aca="false">Assumptions!$B$56</f>
        <v>46.99</v>
      </c>
      <c r="C11" s="25" t="n">
        <v>2</v>
      </c>
      <c r="D11" s="40" t="n">
        <f aca="false">C11*Assumptions!$B$7</f>
        <v>1.3</v>
      </c>
      <c r="E11" s="40" t="n">
        <f aca="false">C11*Assumptions!$B$9</f>
        <v>2.8</v>
      </c>
      <c r="G11" s="41" t="n">
        <f aca="false">B11*D11</f>
        <v>61.087</v>
      </c>
      <c r="H11" s="41" t="n">
        <f aca="false">B11*C11</f>
        <v>93.98</v>
      </c>
      <c r="I11" s="41" t="n">
        <f aca="false">B11*E11</f>
        <v>131.572</v>
      </c>
    </row>
    <row r="12" customFormat="false" ht="15" hidden="false" customHeight="false" outlineLevel="0" collapsed="false">
      <c r="A12" s="7" t="s">
        <v>413</v>
      </c>
      <c r="B12" s="38" t="n">
        <f aca="false">Assumptions!$B$57</f>
        <v>36.99</v>
      </c>
      <c r="C12" s="25" t="n">
        <v>2</v>
      </c>
      <c r="D12" s="40" t="n">
        <f aca="false">C12*Assumptions!$B$7</f>
        <v>1.3</v>
      </c>
      <c r="E12" s="40" t="n">
        <f aca="false">C12*Assumptions!$B$9</f>
        <v>2.8</v>
      </c>
      <c r="G12" s="41" t="n">
        <f aca="false">B12*D12</f>
        <v>48.087</v>
      </c>
      <c r="H12" s="41" t="n">
        <f aca="false">B12*C12</f>
        <v>73.98</v>
      </c>
      <c r="I12" s="41" t="n">
        <f aca="false">B12*E12</f>
        <v>103.572</v>
      </c>
    </row>
    <row r="13" customFormat="false" ht="15" hidden="false" customHeight="false" outlineLevel="0" collapsed="false">
      <c r="A13" s="7" t="s">
        <v>414</v>
      </c>
      <c r="B13" s="38" t="n">
        <f aca="false">Assumptions!$B$58</f>
        <v>5.99</v>
      </c>
      <c r="C13" s="25" t="n">
        <v>6</v>
      </c>
      <c r="D13" s="40" t="n">
        <f aca="false">C13*Assumptions!$B$7</f>
        <v>3.9</v>
      </c>
      <c r="E13" s="40" t="n">
        <f aca="false">C13*Assumptions!$B$9</f>
        <v>8.4</v>
      </c>
      <c r="G13" s="41" t="n">
        <f aca="false">B13*D13</f>
        <v>23.361</v>
      </c>
      <c r="H13" s="41" t="n">
        <f aca="false">B13*C13</f>
        <v>35.94</v>
      </c>
      <c r="I13" s="41" t="n">
        <f aca="false">B13*E13</f>
        <v>50.316</v>
      </c>
    </row>
    <row r="14" customFormat="false" ht="15" hidden="false" customHeight="false" outlineLevel="0" collapsed="false">
      <c r="A14" s="7" t="s">
        <v>415</v>
      </c>
      <c r="B14" s="38" t="n">
        <f aca="false">Assumptions!$B$59</f>
        <v>7.99</v>
      </c>
      <c r="C14" s="25" t="n">
        <v>4</v>
      </c>
      <c r="D14" s="40" t="n">
        <f aca="false">C14*Assumptions!$B$7</f>
        <v>2.6</v>
      </c>
      <c r="E14" s="40" t="n">
        <f aca="false">C14*Assumptions!$B$9</f>
        <v>5.6</v>
      </c>
      <c r="G14" s="41" t="n">
        <f aca="false">B14*D14</f>
        <v>20.774</v>
      </c>
      <c r="H14" s="41" t="n">
        <f aca="false">B14*C14</f>
        <v>31.96</v>
      </c>
      <c r="I14" s="41" t="n">
        <f aca="false">B14*E14</f>
        <v>44.744</v>
      </c>
    </row>
    <row r="15" customFormat="false" ht="15" hidden="false" customHeight="false" outlineLevel="0" collapsed="false">
      <c r="A15" s="7" t="s">
        <v>416</v>
      </c>
      <c r="B15" s="38" t="n">
        <f aca="false">Assumptions!$B$60</f>
        <v>5.99</v>
      </c>
      <c r="C15" s="25" t="n">
        <v>10</v>
      </c>
      <c r="D15" s="40" t="n">
        <f aca="false">C15*Assumptions!$B$7</f>
        <v>6.5</v>
      </c>
      <c r="E15" s="40" t="n">
        <f aca="false">C15*Assumptions!$B$9</f>
        <v>14</v>
      </c>
      <c r="G15" s="41" t="n">
        <f aca="false">B15*D15</f>
        <v>38.935</v>
      </c>
      <c r="H15" s="41" t="n">
        <f aca="false">B15*C15</f>
        <v>59.9</v>
      </c>
      <c r="I15" s="41" t="n">
        <f aca="false">B15*E15</f>
        <v>83.86</v>
      </c>
    </row>
    <row r="16" customFormat="false" ht="15" hidden="false" customHeight="false" outlineLevel="0" collapsed="false">
      <c r="A16" s="7" t="s">
        <v>417</v>
      </c>
      <c r="B16" s="38" t="n">
        <f aca="false">Assumptions!$B$60</f>
        <v>5.99</v>
      </c>
      <c r="C16" s="25" t="n">
        <v>6</v>
      </c>
      <c r="D16" s="40" t="n">
        <f aca="false">C16*Assumptions!$B$7</f>
        <v>3.9</v>
      </c>
      <c r="E16" s="40" t="n">
        <f aca="false">C16*Assumptions!$B$9</f>
        <v>8.4</v>
      </c>
      <c r="G16" s="41" t="n">
        <f aca="false">B16*D16</f>
        <v>23.361</v>
      </c>
      <c r="H16" s="41" t="n">
        <f aca="false">B16*C16</f>
        <v>35.94</v>
      </c>
      <c r="I16" s="41" t="n">
        <f aca="false">B16*E16</f>
        <v>50.316</v>
      </c>
    </row>
    <row r="17" customFormat="false" ht="15" hidden="false" customHeight="false" outlineLevel="0" collapsed="false">
      <c r="A17" s="7" t="s">
        <v>418</v>
      </c>
      <c r="B17" s="38" t="n">
        <f aca="false">Assumptions!$B$60</f>
        <v>5.99</v>
      </c>
      <c r="C17" s="25" t="n">
        <v>4</v>
      </c>
      <c r="D17" s="40" t="n">
        <f aca="false">C17*Assumptions!$B$7</f>
        <v>2.6</v>
      </c>
      <c r="E17" s="40" t="n">
        <f aca="false">C17*Assumptions!$B$9</f>
        <v>5.6</v>
      </c>
      <c r="G17" s="41" t="n">
        <f aca="false">B17*D17</f>
        <v>15.574</v>
      </c>
      <c r="H17" s="41" t="n">
        <f aca="false">B17*C17</f>
        <v>23.96</v>
      </c>
      <c r="I17" s="41" t="n">
        <f aca="false">B17*E17</f>
        <v>33.544</v>
      </c>
    </row>
    <row r="18" customFormat="false" ht="15" hidden="false" customHeight="false" outlineLevel="0" collapsed="false">
      <c r="A18" s="7" t="s">
        <v>419</v>
      </c>
      <c r="B18" s="38" t="n">
        <f aca="false">Assumptions!$B$61</f>
        <v>5.99</v>
      </c>
      <c r="C18" s="25" t="n">
        <v>12</v>
      </c>
      <c r="D18" s="40" t="n">
        <f aca="false">C18*Assumptions!$B$7</f>
        <v>7.8</v>
      </c>
      <c r="E18" s="40" t="n">
        <f aca="false">C18*Assumptions!$B$9</f>
        <v>16.8</v>
      </c>
      <c r="G18" s="41" t="n">
        <f aca="false">B18*D18</f>
        <v>46.722</v>
      </c>
      <c r="H18" s="41" t="n">
        <f aca="false">B18*C18</f>
        <v>71.88</v>
      </c>
      <c r="I18" s="41" t="n">
        <f aca="false">B18*E18</f>
        <v>100.632</v>
      </c>
    </row>
    <row r="19" customFormat="false" ht="15" hidden="false" customHeight="false" outlineLevel="0" collapsed="false">
      <c r="A19" s="7" t="s">
        <v>420</v>
      </c>
      <c r="B19" s="38" t="n">
        <f aca="false">Assumptions!$B$62</f>
        <v>2.99</v>
      </c>
      <c r="C19" s="25" t="n">
        <v>40</v>
      </c>
      <c r="D19" s="40" t="n">
        <f aca="false">C19*Assumptions!$B$7</f>
        <v>26</v>
      </c>
      <c r="E19" s="40" t="n">
        <f aca="false">C19*Assumptions!$B$9</f>
        <v>56</v>
      </c>
      <c r="G19" s="41" t="n">
        <f aca="false">B19*D19</f>
        <v>77.74</v>
      </c>
      <c r="H19" s="41" t="n">
        <f aca="false">B19*C19</f>
        <v>119.6</v>
      </c>
      <c r="I19" s="41" t="n">
        <f aca="false">B19*E19</f>
        <v>167.44</v>
      </c>
    </row>
    <row r="20" customFormat="false" ht="15" hidden="false" customHeight="false" outlineLevel="0" collapsed="false">
      <c r="A20" s="7" t="s">
        <v>421</v>
      </c>
      <c r="B20" s="38" t="n">
        <f aca="false">Assumptions!$B$63</f>
        <v>2.99</v>
      </c>
      <c r="C20" s="25" t="n">
        <v>12</v>
      </c>
      <c r="D20" s="40" t="n">
        <f aca="false">C20*Assumptions!$B$7</f>
        <v>7.8</v>
      </c>
      <c r="E20" s="40" t="n">
        <f aca="false">C20*Assumptions!$B$9</f>
        <v>16.8</v>
      </c>
      <c r="G20" s="41" t="n">
        <f aca="false">B20*D20</f>
        <v>23.322</v>
      </c>
      <c r="H20" s="41" t="n">
        <f aca="false">B20*C20</f>
        <v>35.88</v>
      </c>
      <c r="I20" s="41" t="n">
        <f aca="false">B20*E20</f>
        <v>50.232</v>
      </c>
    </row>
    <row r="21" customFormat="false" ht="15" hidden="false" customHeight="false" outlineLevel="0" collapsed="false">
      <c r="A21" s="7" t="s">
        <v>422</v>
      </c>
      <c r="B21" s="38" t="n">
        <f aca="false">Assumptions!$B$64</f>
        <v>289</v>
      </c>
      <c r="C21" s="25" t="n">
        <v>0.8</v>
      </c>
      <c r="D21" s="40" t="n">
        <f aca="false">C21*Assumptions!$B$7</f>
        <v>0.52</v>
      </c>
      <c r="E21" s="40" t="n">
        <f aca="false">C21*Assumptions!$B$9</f>
        <v>1.12</v>
      </c>
      <c r="G21" s="41" t="n">
        <f aca="false">B21*D21</f>
        <v>150.28</v>
      </c>
      <c r="H21" s="41" t="n">
        <f aca="false">B21*C21</f>
        <v>231.2</v>
      </c>
      <c r="I21" s="41" t="n">
        <f aca="false">B21*E21</f>
        <v>323.68</v>
      </c>
    </row>
    <row r="22" customFormat="false" ht="15" hidden="false" customHeight="false" outlineLevel="0" collapsed="false">
      <c r="A22" s="7" t="s">
        <v>423</v>
      </c>
      <c r="B22" s="38" t="n">
        <f aca="false">Assumptions!$B$65</f>
        <v>570</v>
      </c>
      <c r="C22" s="25" t="n">
        <v>0.4</v>
      </c>
      <c r="D22" s="40" t="n">
        <f aca="false">C22*Assumptions!$B$7</f>
        <v>0.26</v>
      </c>
      <c r="E22" s="40" t="n">
        <f aca="false">C22*Assumptions!$B$9</f>
        <v>0.56</v>
      </c>
      <c r="G22" s="41" t="n">
        <f aca="false">B22*D22</f>
        <v>148.2</v>
      </c>
      <c r="H22" s="41" t="n">
        <f aca="false">B22*C22</f>
        <v>228</v>
      </c>
      <c r="I22" s="41" t="n">
        <f aca="false">B22*E22</f>
        <v>319.2</v>
      </c>
    </row>
    <row r="23" customFormat="false" ht="15" hidden="false" customHeight="false" outlineLevel="0" collapsed="false">
      <c r="A23" s="7" t="s">
        <v>424</v>
      </c>
      <c r="B23" s="38" t="n">
        <f aca="false">Assumptions!$B$66</f>
        <v>825</v>
      </c>
      <c r="C23" s="25" t="n">
        <v>0.2</v>
      </c>
      <c r="D23" s="40" t="n">
        <f aca="false">C23*Assumptions!$B$7</f>
        <v>0.13</v>
      </c>
      <c r="E23" s="40" t="n">
        <f aca="false">C23*Assumptions!$B$9</f>
        <v>0.28</v>
      </c>
      <c r="G23" s="41" t="n">
        <f aca="false">B23*D23</f>
        <v>107.25</v>
      </c>
      <c r="H23" s="41" t="n">
        <f aca="false">B23*C23</f>
        <v>165</v>
      </c>
      <c r="I23" s="41" t="n">
        <f aca="false">B23*E23</f>
        <v>231</v>
      </c>
    </row>
    <row r="24" customFormat="false" ht="15" hidden="false" customHeight="false" outlineLevel="0" collapsed="false">
      <c r="A24" s="7" t="s">
        <v>425</v>
      </c>
      <c r="B24" s="38" t="n">
        <f aca="false">Assumptions!$B$67</f>
        <v>1350</v>
      </c>
      <c r="C24" s="25" t="n">
        <v>0.1</v>
      </c>
      <c r="D24" s="40" t="n">
        <f aca="false">C24*Assumptions!$B$7</f>
        <v>0.065</v>
      </c>
      <c r="E24" s="40" t="n">
        <f aca="false">C24*Assumptions!$B$9</f>
        <v>0.14</v>
      </c>
      <c r="G24" s="41" t="n">
        <f aca="false">B24*D24</f>
        <v>87.75</v>
      </c>
      <c r="H24" s="41" t="n">
        <f aca="false">B24*C24</f>
        <v>135</v>
      </c>
      <c r="I24" s="41" t="n">
        <f aca="false">B24*E24</f>
        <v>189</v>
      </c>
    </row>
    <row r="25" customFormat="false" ht="15" hidden="false" customHeight="false" outlineLevel="0" collapsed="false">
      <c r="A25" s="31" t="s">
        <v>478</v>
      </c>
      <c r="G25" s="42" t="n">
        <f aca="false">SUM(G5:G24)</f>
        <v>2339.675</v>
      </c>
      <c r="H25" s="42" t="n">
        <f aca="false">SUM(H5:H24)</f>
        <v>3599.5</v>
      </c>
      <c r="I25" s="42" t="n">
        <f aca="false">SUM(I5:I24)</f>
        <v>5039.3</v>
      </c>
    </row>
    <row r="26" customFormat="false" ht="15" hidden="false" customHeight="false" outlineLevel="0" collapsed="false">
      <c r="A26" s="7" t="s">
        <v>479</v>
      </c>
      <c r="G26" s="43" t="n">
        <f aca="false">G25/Assumptions!$B$10</f>
        <v>49.9930555555556</v>
      </c>
      <c r="H26" s="43" t="n">
        <f aca="false">H25/Assumptions!$B$10</f>
        <v>76.9123931623932</v>
      </c>
      <c r="I26" s="43" t="n">
        <f aca="false">I25/Assumptions!$B$10</f>
        <v>107.67735042735</v>
      </c>
    </row>
    <row r="27" customFormat="false" ht="15" hidden="false" customHeight="false" outlineLevel="0" collapsed="false">
      <c r="A27" s="7" t="s">
        <v>480</v>
      </c>
      <c r="G27" s="41" t="n">
        <f aca="false">G25*Assumptions!$B$5</f>
        <v>11698.375</v>
      </c>
      <c r="H27" s="41" t="n">
        <f aca="false">H25*Assumptions!$B$5</f>
        <v>17997.5</v>
      </c>
      <c r="I27" s="41" t="n">
        <f aca="false">I25*Assumptions!$B$5</f>
        <v>25196.5</v>
      </c>
    </row>
    <row r="28" customFormat="false" ht="15" hidden="false" customHeight="false" outlineLevel="0" collapsed="false">
      <c r="A28" s="3" t="s">
        <v>481</v>
      </c>
    </row>
    <row r="29" customFormat="false" ht="15" hidden="false" customHeight="false" outlineLevel="0" collapsed="false">
      <c r="A29" s="3" t="s">
        <v>482</v>
      </c>
    </row>
    <row r="31" customFormat="false" ht="15" hidden="false" customHeight="false" outlineLevel="0" collapsed="false">
      <c r="A31" s="5" t="s">
        <v>483</v>
      </c>
      <c r="B31" s="6"/>
      <c r="C31" s="6"/>
      <c r="D31" s="6"/>
      <c r="E31" s="6"/>
      <c r="F31" s="6"/>
      <c r="G31" s="6"/>
      <c r="H31" s="6"/>
      <c r="I31" s="6"/>
    </row>
    <row r="32" customFormat="false" ht="15" hidden="false" customHeight="false" outlineLevel="0" collapsed="false">
      <c r="A32" s="4"/>
      <c r="B32" s="4"/>
      <c r="C32" s="4"/>
      <c r="D32" s="4"/>
      <c r="E32" s="4"/>
      <c r="F32" s="4"/>
      <c r="G32" s="4" t="s">
        <v>2</v>
      </c>
      <c r="H32" s="4" t="s">
        <v>3</v>
      </c>
      <c r="I32" s="4" t="s">
        <v>4</v>
      </c>
    </row>
    <row r="33" customFormat="false" ht="15" hidden="false" customHeight="false" outlineLevel="0" collapsed="false">
      <c r="A33" s="7" t="s">
        <v>484</v>
      </c>
      <c r="G33" s="41" t="n">
        <f aca="false">(G5+G6+G7+G8+G15+G16+G17+G18+G19+G20)*Assumptions!$B$5*Assumptions!$B$6</f>
        <v>32613.3002</v>
      </c>
      <c r="H33" s="41" t="n">
        <f aca="false">(H5+H6+H7+H8+H15+H16+H17+H18+H19+H20)*Assumptions!$B$5*Assumptions!$B$6</f>
        <v>50174.308</v>
      </c>
      <c r="I33" s="41" t="n">
        <f aca="false">(I5+I6+I7+I8+I15+I16+I17+I18+I19+I20)*Assumptions!$B$5*Assumptions!$B$6</f>
        <v>70244.0312</v>
      </c>
    </row>
    <row r="34" customFormat="false" ht="15" hidden="false" customHeight="false" outlineLevel="0" collapsed="false">
      <c r="A34" s="7" t="s">
        <v>485</v>
      </c>
      <c r="G34" s="41" t="n">
        <f aca="false">(G9+G10+G11+G12+G13+G14)*Assumptions!$B$5*Assumptions!$B$6</f>
        <v>7356.82155</v>
      </c>
      <c r="H34" s="41" t="n">
        <f aca="false">(H9+H10+H11+H12+H13+H14)*Assumptions!$B$5*Assumptions!$B$6</f>
        <v>11318.187</v>
      </c>
      <c r="I34" s="41" t="n">
        <f aca="false">(I9+I10+I11+I12+I13+I14)*Assumptions!$B$5*Assumptions!$B$6</f>
        <v>15845.4618</v>
      </c>
    </row>
    <row r="35" customFormat="false" ht="15" hidden="false" customHeight="false" outlineLevel="0" collapsed="false">
      <c r="A35" s="7" t="s">
        <v>486</v>
      </c>
      <c r="G35" s="41" t="n">
        <f aca="false">(G21+G22+G23+G24)*Assumptions!$B$5*Assumptions!$B$6</f>
        <v>10683.842</v>
      </c>
      <c r="H35" s="41" t="n">
        <f aca="false">(H21+H22+H23+H24)*Assumptions!$B$5*Assumptions!$B$6</f>
        <v>16436.68</v>
      </c>
      <c r="I35" s="41" t="n">
        <f aca="false">(I21+I22+I23+I24)*Assumptions!$B$5*Assumptions!$B$6</f>
        <v>23011.352</v>
      </c>
    </row>
    <row r="36" customFormat="false" ht="15" hidden="false" customHeight="false" outlineLevel="0" collapsed="false">
      <c r="A36" s="31" t="s">
        <v>487</v>
      </c>
      <c r="G36" s="44" t="n">
        <f aca="false">G25*Assumptions!$B$5*Assumptions!$B$6</f>
        <v>50653.96375</v>
      </c>
      <c r="H36" s="44" t="n">
        <f aca="false">H25*Assumptions!$B$5*Assumptions!$B$6</f>
        <v>77929.175</v>
      </c>
      <c r="I36" s="44" t="n">
        <f aca="false">I25*Assumptions!$B$5*Assumptions!$B$6</f>
        <v>109100.845</v>
      </c>
    </row>
    <row r="37" customFormat="false" ht="15" hidden="false" customHeight="false" outlineLevel="0" collapsed="false">
      <c r="A37" s="7" t="s">
        <v>488</v>
      </c>
      <c r="G37" s="41" t="n">
        <f aca="false">(D5*'Menu Costing'!E40+D6*'Menu Costing'!F40+D7*'Menu Costing'!G40+D8*'Menu Costing'!H40+D9*'Menu Costing'!I40+D10*'Menu Costing'!J40+D11*'Menu Costing'!K40+D12*'Menu Costing'!L40+D13*'Menu Costing'!M40+D14*'Menu Costing'!N40+D15*'Menu Costing'!O40+D16*'Menu Costing'!P40+D17*'Menu Costing'!Q40+D18*'Menu Costing'!R40+D19*'Menu Costing'!S40+D20*'Menu Costing'!T40+D21*'Menu Costing'!U40+D22*'Menu Costing'!V40+D23*'Menu Costing'!W40+D24*'Menu Costing'!X40)*Assumptions!$B$5*Assumptions!$B$6</f>
        <v>10090.8648297585</v>
      </c>
      <c r="H37" s="41" t="n">
        <f aca="false">(C5*'Menu Costing'!E40+C6*'Menu Costing'!F40+C7*'Menu Costing'!G40+C8*'Menu Costing'!H40+C9*'Menu Costing'!I40+C10*'Menu Costing'!J40+C11*'Menu Costing'!K40+C12*'Menu Costing'!L40+C13*'Menu Costing'!M40+C14*'Menu Costing'!N40+C15*'Menu Costing'!O40+C16*'Menu Costing'!P40+C17*'Menu Costing'!Q40+C18*'Menu Costing'!R40+C19*'Menu Costing'!S40+C20*'Menu Costing'!T40+C21*'Menu Costing'!U40+C22*'Menu Costing'!V40+C23*'Menu Costing'!W40+C24*'Menu Costing'!X40)*Assumptions!$B$5*Assumptions!$B$6</f>
        <v>15524.4074303977</v>
      </c>
      <c r="I37" s="41" t="n">
        <f aca="false">(E5*'Menu Costing'!E40+E6*'Menu Costing'!F40+E7*'Menu Costing'!G40+E8*'Menu Costing'!H40+E9*'Menu Costing'!I40+E10*'Menu Costing'!J40+E11*'Menu Costing'!K40+E12*'Menu Costing'!L40+E13*'Menu Costing'!M40+E14*'Menu Costing'!N40+E15*'Menu Costing'!O40+E16*'Menu Costing'!P40+E17*'Menu Costing'!Q40+E18*'Menu Costing'!R40+E19*'Menu Costing'!S40+E20*'Menu Costing'!T40+E21*'Menu Costing'!U40+E22*'Menu Costing'!V40+E23*'Menu Costing'!W40+E24*'Menu Costing'!X40)*Assumptions!$B$5*Assumptions!$B$6</f>
        <v>21734.1704025568</v>
      </c>
    </row>
    <row r="38" customFormat="false" ht="15" hidden="false" customHeight="false" outlineLevel="0" collapsed="false">
      <c r="A38" s="7" t="s">
        <v>489</v>
      </c>
      <c r="G38" s="41" t="n">
        <f aca="false">(D5*'Menu Costing'!E41+D6*'Menu Costing'!F41+D7*'Menu Costing'!G41+D8*'Menu Costing'!H41+D9*'Menu Costing'!I41+D10*'Menu Costing'!J41+D11*'Menu Costing'!K41+D12*'Menu Costing'!L41+D13*'Menu Costing'!M41+D14*'Menu Costing'!N41+D15*'Menu Costing'!O41+D16*'Menu Costing'!P41+D17*'Menu Costing'!Q41+D18*'Menu Costing'!R41+D19*'Menu Costing'!S41+D20*'Menu Costing'!T41+D21*'Menu Costing'!U41+D22*'Menu Costing'!V41+D23*'Menu Costing'!W41+D24*'Menu Costing'!X41)*Assumptions!$B$5*Assumptions!$B$6</f>
        <v>5228.56227021409</v>
      </c>
      <c r="H38" s="41" t="n">
        <f aca="false">(C5*'Menu Costing'!E41+C6*'Menu Costing'!F41+C7*'Menu Costing'!G41+C8*'Menu Costing'!H41+C9*'Menu Costing'!I41+C10*'Menu Costing'!J41+C11*'Menu Costing'!K41+C12*'Menu Costing'!L41+C13*'Menu Costing'!M41+C14*'Menu Costing'!N41+C15*'Menu Costing'!O41+C16*'Menu Costing'!P41+C17*'Menu Costing'!Q41+C18*'Menu Costing'!R41+C19*'Menu Costing'!S41+C20*'Menu Costing'!T41+C21*'Menu Costing'!U41+C22*'Menu Costing'!V41+C23*'Menu Costing'!W41+C24*'Menu Costing'!X41)*Assumptions!$B$5*Assumptions!$B$6</f>
        <v>8043.94195417552</v>
      </c>
      <c r="I38" s="41" t="n">
        <f aca="false">(E5*'Menu Costing'!E41+E6*'Menu Costing'!F41+E7*'Menu Costing'!G41+E8*'Menu Costing'!H41+E9*'Menu Costing'!I41+E10*'Menu Costing'!J41+E11*'Menu Costing'!K41+E12*'Menu Costing'!L41+E13*'Menu Costing'!M41+E14*'Menu Costing'!N41+E15*'Menu Costing'!O41+E16*'Menu Costing'!P41+E17*'Menu Costing'!Q41+E18*'Menu Costing'!R41+E19*'Menu Costing'!S41+E20*'Menu Costing'!T41+E21*'Menu Costing'!U41+E22*'Menu Costing'!V41+E23*'Menu Costing'!W41+E24*'Menu Costing'!X41)*Assumptions!$B$5*Assumptions!$B$6</f>
        <v>11261.5187358457</v>
      </c>
    </row>
    <row r="39" customFormat="false" ht="15" hidden="false" customHeight="false" outlineLevel="0" collapsed="false">
      <c r="A39" s="7" t="s">
        <v>490</v>
      </c>
      <c r="G39" s="41" t="n">
        <f aca="false">(D5*'Menu Costing'!E42+D6*'Menu Costing'!F42+D7*'Menu Costing'!G42+D8*'Menu Costing'!H42+D9*'Menu Costing'!I42+D10*'Menu Costing'!J42+D11*'Menu Costing'!K42+D12*'Menu Costing'!L42+D13*'Menu Costing'!M42+D14*'Menu Costing'!N42+D15*'Menu Costing'!O42+D16*'Menu Costing'!P42+D17*'Menu Costing'!Q42+D18*'Menu Costing'!R42+D19*'Menu Costing'!S42+D20*'Menu Costing'!T42+D21*'Menu Costing'!U42+D22*'Menu Costing'!V42+D23*'Menu Costing'!W42+D24*'Menu Costing'!X42)*Assumptions!$B$5*Assumptions!$B$6</f>
        <v>1682.14362225</v>
      </c>
      <c r="H39" s="41" t="n">
        <f aca="false">(C5*'Menu Costing'!E42+C6*'Menu Costing'!F42+C7*'Menu Costing'!G42+C8*'Menu Costing'!H42+C9*'Menu Costing'!I42+C10*'Menu Costing'!J42+C11*'Menu Costing'!K42+C12*'Menu Costing'!L42+C13*'Menu Costing'!M42+C14*'Menu Costing'!N42+C15*'Menu Costing'!O42+C16*'Menu Costing'!P42+C17*'Menu Costing'!Q42+C18*'Menu Costing'!R42+C19*'Menu Costing'!S42+C20*'Menu Costing'!T42+C21*'Menu Costing'!U42+C22*'Menu Costing'!V42+C23*'Menu Costing'!W42+C24*'Menu Costing'!X42)*Assumptions!$B$5*Assumptions!$B$6</f>
        <v>2587.913265</v>
      </c>
      <c r="I39" s="41" t="n">
        <f aca="false">(E5*'Menu Costing'!E42+E6*'Menu Costing'!F42+E7*'Menu Costing'!G42+E8*'Menu Costing'!H42+E9*'Menu Costing'!I42+E10*'Menu Costing'!J42+E11*'Menu Costing'!K42+E12*'Menu Costing'!L42+E13*'Menu Costing'!M42+E14*'Menu Costing'!N42+E15*'Menu Costing'!O42+E16*'Menu Costing'!P42+E17*'Menu Costing'!Q42+E18*'Menu Costing'!R42+E19*'Menu Costing'!S42+E20*'Menu Costing'!T42+E21*'Menu Costing'!U42+E22*'Menu Costing'!V42+E23*'Menu Costing'!W42+E24*'Menu Costing'!X42)*Assumptions!$B$5*Assumptions!$B$6</f>
        <v>3623.078571</v>
      </c>
    </row>
    <row r="40" customFormat="false" ht="15" hidden="false" customHeight="false" outlineLevel="0" collapsed="false">
      <c r="A40" s="7" t="s">
        <v>491</v>
      </c>
      <c r="G40" s="41" t="n">
        <f aca="false">(G37+G38)*Assumptions!$B$99</f>
        <v>459.582812999178</v>
      </c>
      <c r="H40" s="41" t="n">
        <f aca="false">(H37+H38)*Assumptions!$B$99</f>
        <v>707.050481537198</v>
      </c>
      <c r="I40" s="41" t="n">
        <f aca="false">(I37+I38)*Assumptions!$B$99</f>
        <v>989.870674152076</v>
      </c>
    </row>
    <row r="41" customFormat="false" ht="15" hidden="false" customHeight="false" outlineLevel="0" collapsed="false">
      <c r="A41" s="31" t="s">
        <v>492</v>
      </c>
      <c r="G41" s="44" t="n">
        <f aca="false">SUM(G37:G40)</f>
        <v>17461.1535352218</v>
      </c>
      <c r="H41" s="44" t="n">
        <f aca="false">SUM(H37:H40)</f>
        <v>26863.3131311104</v>
      </c>
      <c r="I41" s="44" t="n">
        <f aca="false">SUM(I37:I40)</f>
        <v>37608.6383835546</v>
      </c>
    </row>
    <row r="42" customFormat="false" ht="15" hidden="false" customHeight="false" outlineLevel="0" collapsed="false">
      <c r="A42" s="3" t="s">
        <v>493</v>
      </c>
      <c r="G42" s="45" t="n">
        <f aca="false">IF(G36=0,0,G41/G36)</f>
        <v>0.344714455543902</v>
      </c>
      <c r="H42" s="45" t="n">
        <f aca="false">IF(H36=0,0,H41/H36)</f>
        <v>0.344714455543902</v>
      </c>
      <c r="I42" s="45" t="n">
        <f aca="false">IF(I36=0,0,I41/I36)</f>
        <v>0.344714455543902</v>
      </c>
    </row>
    <row r="43" customFormat="false" ht="15" hidden="false" customHeight="false" outlineLevel="0" collapsed="false">
      <c r="A43" s="34" t="s">
        <v>494</v>
      </c>
      <c r="B43" s="35"/>
      <c r="C43" s="35"/>
      <c r="D43" s="35"/>
      <c r="E43" s="35"/>
      <c r="G43" s="42" t="n">
        <f aca="false">G36-G41</f>
        <v>33192.8102147782</v>
      </c>
      <c r="H43" s="42" t="n">
        <f aca="false">H36-H41</f>
        <v>51065.8618688896</v>
      </c>
      <c r="I43" s="42" t="n">
        <f aca="false">I36-I41</f>
        <v>71492.2066164454</v>
      </c>
    </row>
    <row r="44" customFormat="false" ht="15" hidden="false" customHeight="false" outlineLevel="0" collapsed="false">
      <c r="A44" s="7" t="s">
        <v>495</v>
      </c>
      <c r="G44" s="41" t="n">
        <f aca="false">Assumptions!$B$69/12</f>
        <v>5000</v>
      </c>
      <c r="H44" s="41" t="n">
        <f aca="false">Assumptions!$B$69/12</f>
        <v>5000</v>
      </c>
      <c r="I44" s="41" t="n">
        <f aca="false">Assumptions!$B$69/12</f>
        <v>5000</v>
      </c>
    </row>
    <row r="45" customFormat="false" ht="15" hidden="false" customHeight="false" outlineLevel="0" collapsed="false">
      <c r="A45" s="7" t="s">
        <v>496</v>
      </c>
      <c r="G45" s="41" t="n">
        <f aca="false">(Assumptions!$B$70*Assumptions!$B$71+Assumptions!$B$76)*Assumptions!$B$72*Assumptions!$B$5*Assumptions!$B$6</f>
        <v>7794</v>
      </c>
      <c r="H45" s="41" t="n">
        <f aca="false">(Assumptions!$B$70*Assumptions!$B$71+Assumptions!$B$76)*Assumptions!$B$72*Assumptions!$B$5*Assumptions!$B$6</f>
        <v>7794</v>
      </c>
      <c r="I45" s="41" t="n">
        <f aca="false">(Assumptions!$B$70*Assumptions!$B$71+Assumptions!$B$76)*Assumptions!$B$72*Assumptions!$B$5*Assumptions!$B$6</f>
        <v>7794</v>
      </c>
    </row>
    <row r="46" customFormat="false" ht="15" hidden="false" customHeight="false" outlineLevel="0" collapsed="false">
      <c r="A46" s="7" t="s">
        <v>497</v>
      </c>
      <c r="G46" s="41" t="n">
        <f aca="false">Assumptions!$B$74*Assumptions!$B$75*Assumptions!$B$72*Assumptions!$B$5*Assumptions!$B$6</f>
        <v>1732</v>
      </c>
      <c r="H46" s="41" t="n">
        <f aca="false">Assumptions!$B$74*Assumptions!$B$75*Assumptions!$B$72*Assumptions!$B$5*Assumptions!$B$6</f>
        <v>1732</v>
      </c>
      <c r="I46" s="41" t="n">
        <f aca="false">Assumptions!$B$74*Assumptions!$B$75*Assumptions!$B$72*Assumptions!$B$5*Assumptions!$B$6</f>
        <v>1732</v>
      </c>
    </row>
    <row r="47" customFormat="false" ht="15" hidden="false" customHeight="false" outlineLevel="0" collapsed="false">
      <c r="A47" s="7" t="s">
        <v>498</v>
      </c>
      <c r="G47" s="41" t="n">
        <f aca="false">(G44+G45+G46)*Assumptions!$B$73</f>
        <v>1597.86</v>
      </c>
      <c r="H47" s="41" t="n">
        <f aca="false">(H44+H45+H46)*Assumptions!$B$73</f>
        <v>1597.86</v>
      </c>
      <c r="I47" s="41" t="n">
        <f aca="false">(I44+I45+I46)*Assumptions!$B$73</f>
        <v>1597.86</v>
      </c>
    </row>
    <row r="48" customFormat="false" ht="15" hidden="false" customHeight="false" outlineLevel="0" collapsed="false">
      <c r="A48" s="31" t="s">
        <v>499</v>
      </c>
      <c r="G48" s="44" t="n">
        <f aca="false">SUM(G44:G47)</f>
        <v>16123.86</v>
      </c>
      <c r="H48" s="44" t="n">
        <f aca="false">SUM(H44:H47)</f>
        <v>16123.86</v>
      </c>
      <c r="I48" s="44" t="n">
        <f aca="false">SUM(I44:I47)</f>
        <v>16123.86</v>
      </c>
    </row>
    <row r="49" customFormat="false" ht="15" hidden="false" customHeight="false" outlineLevel="0" collapsed="false">
      <c r="A49" s="3" t="s">
        <v>500</v>
      </c>
      <c r="G49" s="45" t="n">
        <f aca="false">IF(G36=0,0,G48/G36)</f>
        <v>0.318313885159678</v>
      </c>
      <c r="H49" s="45" t="n">
        <f aca="false">IF(H36=0,0,H48/H36)</f>
        <v>0.206904025353791</v>
      </c>
      <c r="I49" s="45" t="n">
        <f aca="false">IF(I36=0,0,I48/I36)</f>
        <v>0.147788589538422</v>
      </c>
    </row>
    <row r="50" customFormat="false" ht="15" hidden="false" customHeight="false" outlineLevel="0" collapsed="false">
      <c r="A50" s="3" t="s">
        <v>501</v>
      </c>
      <c r="G50" s="45" t="n">
        <f aca="false">IF(G36=0,0,(G41+G48)/G36)</f>
        <v>0.66302834070358</v>
      </c>
      <c r="H50" s="45" t="n">
        <f aca="false">IF(H36=0,0,(H41+H48)/H36)</f>
        <v>0.551618480897693</v>
      </c>
      <c r="I50" s="45" t="n">
        <f aca="false">IF(I36=0,0,(I41+I48)/I36)</f>
        <v>0.492503045082324</v>
      </c>
    </row>
    <row r="51" customFormat="false" ht="15" hidden="false" customHeight="false" outlineLevel="0" collapsed="false">
      <c r="A51" s="7" t="s">
        <v>502</v>
      </c>
      <c r="G51" s="41" t="n">
        <f aca="false">Assumptions!$B$84</f>
        <v>6000</v>
      </c>
      <c r="H51" s="41" t="n">
        <f aca="false">Assumptions!$B$84</f>
        <v>6000</v>
      </c>
      <c r="I51" s="41" t="n">
        <f aca="false">Assumptions!$B$84</f>
        <v>6000</v>
      </c>
    </row>
    <row r="52" customFormat="false" ht="15" hidden="false" customHeight="false" outlineLevel="0" collapsed="false">
      <c r="A52" s="7" t="s">
        <v>503</v>
      </c>
      <c r="G52" s="41" t="n">
        <f aca="false">Assumptions!$B$85</f>
        <v>1500</v>
      </c>
      <c r="H52" s="41" t="n">
        <f aca="false">Assumptions!$B$85</f>
        <v>1500</v>
      </c>
      <c r="I52" s="41" t="n">
        <f aca="false">Assumptions!$B$85</f>
        <v>1500</v>
      </c>
    </row>
    <row r="53" customFormat="false" ht="15" hidden="false" customHeight="false" outlineLevel="0" collapsed="false">
      <c r="A53" s="7" t="s">
        <v>504</v>
      </c>
      <c r="G53" s="41" t="n">
        <f aca="false">Assumptions!$B$86</f>
        <v>1800</v>
      </c>
      <c r="H53" s="41" t="n">
        <f aca="false">Assumptions!$B$86</f>
        <v>1800</v>
      </c>
      <c r="I53" s="41" t="n">
        <f aca="false">Assumptions!$B$86</f>
        <v>1800</v>
      </c>
    </row>
    <row r="54" customFormat="false" ht="15" hidden="false" customHeight="false" outlineLevel="0" collapsed="false">
      <c r="A54" s="31" t="s">
        <v>505</v>
      </c>
      <c r="G54" s="44" t="n">
        <f aca="false">SUM(G51:G53)</f>
        <v>9300</v>
      </c>
      <c r="H54" s="44" t="n">
        <f aca="false">SUM(H51:H53)</f>
        <v>9300</v>
      </c>
      <c r="I54" s="44" t="n">
        <f aca="false">SUM(I51:I53)</f>
        <v>9300</v>
      </c>
    </row>
    <row r="55" customFormat="false" ht="15" hidden="false" customHeight="false" outlineLevel="0" collapsed="false">
      <c r="A55" s="7" t="s">
        <v>506</v>
      </c>
      <c r="G55" s="41" t="n">
        <f aca="false">G36*Assumptions!$B$97</f>
        <v>1468.96494875</v>
      </c>
      <c r="H55" s="41" t="n">
        <f aca="false">H36*Assumptions!$B$97</f>
        <v>2259.946075</v>
      </c>
      <c r="I55" s="41" t="n">
        <f aca="false">I36*Assumptions!$B$97</f>
        <v>3163.924505</v>
      </c>
    </row>
    <row r="56" customFormat="false" ht="15" hidden="false" customHeight="false" outlineLevel="0" collapsed="false">
      <c r="A56" s="7" t="s">
        <v>507</v>
      </c>
      <c r="G56" s="41" t="n">
        <f aca="false">G36*Assumptions!$B$98</f>
        <v>1013.079275</v>
      </c>
      <c r="H56" s="41" t="n">
        <f aca="false">H36*Assumptions!$B$98</f>
        <v>1558.5835</v>
      </c>
      <c r="I56" s="41" t="n">
        <f aca="false">I36*Assumptions!$B$98</f>
        <v>2182.0169</v>
      </c>
    </row>
    <row r="57" customFormat="false" ht="15" hidden="false" customHeight="false" outlineLevel="0" collapsed="false">
      <c r="A57" s="7" t="s">
        <v>508</v>
      </c>
      <c r="G57" s="41" t="n">
        <f aca="false">Assumptions!$B$87</f>
        <v>650</v>
      </c>
      <c r="H57" s="41" t="n">
        <f aca="false">Assumptions!$B$87</f>
        <v>650</v>
      </c>
      <c r="I57" s="41" t="n">
        <f aca="false">Assumptions!$B$87</f>
        <v>650</v>
      </c>
    </row>
    <row r="58" customFormat="false" ht="15" hidden="false" customHeight="false" outlineLevel="0" collapsed="false">
      <c r="A58" s="7" t="s">
        <v>509</v>
      </c>
      <c r="G58" s="41" t="n">
        <f aca="false">Assumptions!$B$88</f>
        <v>150</v>
      </c>
      <c r="H58" s="41" t="n">
        <f aca="false">Assumptions!$B$88</f>
        <v>150</v>
      </c>
      <c r="I58" s="41" t="n">
        <f aca="false">Assumptions!$B$88</f>
        <v>150</v>
      </c>
    </row>
    <row r="59" customFormat="false" ht="15" hidden="false" customHeight="false" outlineLevel="0" collapsed="false">
      <c r="A59" s="7" t="s">
        <v>510</v>
      </c>
      <c r="G59" s="41" t="n">
        <f aca="false">Assumptions!$B$89</f>
        <v>200</v>
      </c>
      <c r="H59" s="41" t="n">
        <f aca="false">Assumptions!$B$89</f>
        <v>200</v>
      </c>
      <c r="I59" s="41" t="n">
        <f aca="false">Assumptions!$B$89</f>
        <v>200</v>
      </c>
    </row>
    <row r="60" customFormat="false" ht="15" hidden="false" customHeight="false" outlineLevel="0" collapsed="false">
      <c r="A60" s="7" t="s">
        <v>511</v>
      </c>
      <c r="G60" s="41" t="n">
        <f aca="false">Assumptions!$B$90</f>
        <v>650</v>
      </c>
      <c r="H60" s="41" t="n">
        <f aca="false">Assumptions!$B$90</f>
        <v>650</v>
      </c>
      <c r="I60" s="41" t="n">
        <f aca="false">Assumptions!$B$90</f>
        <v>650</v>
      </c>
    </row>
    <row r="61" customFormat="false" ht="15" hidden="false" customHeight="false" outlineLevel="0" collapsed="false">
      <c r="A61" s="7" t="s">
        <v>512</v>
      </c>
      <c r="G61" s="41" t="n">
        <f aca="false">Assumptions!$B$91</f>
        <v>100</v>
      </c>
      <c r="H61" s="41" t="n">
        <f aca="false">Assumptions!$B$91</f>
        <v>100</v>
      </c>
      <c r="I61" s="41" t="n">
        <f aca="false">Assumptions!$B$91</f>
        <v>100</v>
      </c>
    </row>
    <row r="62" customFormat="false" ht="15" hidden="false" customHeight="false" outlineLevel="0" collapsed="false">
      <c r="A62" s="7" t="s">
        <v>513</v>
      </c>
      <c r="G62" s="41" t="n">
        <f aca="false">Assumptions!$B$92</f>
        <v>350</v>
      </c>
      <c r="H62" s="41" t="n">
        <f aca="false">Assumptions!$B$92</f>
        <v>350</v>
      </c>
      <c r="I62" s="41" t="n">
        <f aca="false">Assumptions!$B$92</f>
        <v>350</v>
      </c>
    </row>
    <row r="63" customFormat="false" ht="15" hidden="false" customHeight="false" outlineLevel="0" collapsed="false">
      <c r="A63" s="7" t="s">
        <v>514</v>
      </c>
      <c r="G63" s="41" t="n">
        <f aca="false">Assumptions!$B$93</f>
        <v>500</v>
      </c>
      <c r="H63" s="41" t="n">
        <f aca="false">Assumptions!$B$93</f>
        <v>500</v>
      </c>
      <c r="I63" s="41" t="n">
        <f aca="false">Assumptions!$B$93</f>
        <v>500</v>
      </c>
    </row>
    <row r="64" customFormat="false" ht="15" hidden="false" customHeight="false" outlineLevel="0" collapsed="false">
      <c r="A64" s="7" t="s">
        <v>515</v>
      </c>
      <c r="G64" s="41" t="n">
        <f aca="false">Assumptions!$B$94</f>
        <v>500</v>
      </c>
      <c r="H64" s="41" t="n">
        <f aca="false">Assumptions!$B$94</f>
        <v>500</v>
      </c>
      <c r="I64" s="41" t="n">
        <f aca="false">Assumptions!$B$94</f>
        <v>500</v>
      </c>
    </row>
    <row r="65" customFormat="false" ht="15" hidden="false" customHeight="false" outlineLevel="0" collapsed="false">
      <c r="A65" s="7" t="s">
        <v>516</v>
      </c>
      <c r="G65" s="41" t="n">
        <f aca="false">Assumptions!$B$15*Assumptions!$B$77*Assumptions!$B$5*Assumptions!$B$6</f>
        <v>324.75</v>
      </c>
      <c r="H65" s="41" t="n">
        <f aca="false">Assumptions!$B$15*Assumptions!$B$77*Assumptions!$B$5*Assumptions!$B$6</f>
        <v>324.75</v>
      </c>
      <c r="I65" s="41" t="n">
        <f aca="false">Assumptions!$B$15*Assumptions!$B$77*Assumptions!$B$5*Assumptions!$B$6</f>
        <v>324.75</v>
      </c>
    </row>
    <row r="66" customFormat="false" ht="15" hidden="false" customHeight="false" outlineLevel="0" collapsed="false">
      <c r="A66" s="7" t="s">
        <v>517</v>
      </c>
      <c r="G66" s="41" t="n">
        <f aca="false">Assumptions!$B$95</f>
        <v>100</v>
      </c>
      <c r="H66" s="41" t="n">
        <f aca="false">Assumptions!$B$95</f>
        <v>100</v>
      </c>
      <c r="I66" s="41" t="n">
        <f aca="false">Assumptions!$B$95</f>
        <v>100</v>
      </c>
    </row>
    <row r="67" customFormat="false" ht="15" hidden="false" customHeight="false" outlineLevel="0" collapsed="false">
      <c r="A67" s="31" t="s">
        <v>518</v>
      </c>
      <c r="G67" s="44" t="n">
        <f aca="false">SUM(G55:G66)</f>
        <v>6006.79422375</v>
      </c>
      <c r="H67" s="44" t="n">
        <f aca="false">SUM(H55:H66)</f>
        <v>7343.279575</v>
      </c>
      <c r="I67" s="44" t="n">
        <f aca="false">SUM(I55:I66)</f>
        <v>8870.691405</v>
      </c>
    </row>
    <row r="68" customFormat="false" ht="15" hidden="false" customHeight="false" outlineLevel="0" collapsed="false">
      <c r="A68" s="34" t="s">
        <v>519</v>
      </c>
      <c r="B68" s="35"/>
      <c r="C68" s="35"/>
      <c r="D68" s="35"/>
      <c r="E68" s="35"/>
      <c r="G68" s="42" t="n">
        <f aca="false">G43-G48-G54-G67</f>
        <v>1762.15599102821</v>
      </c>
      <c r="H68" s="42" t="n">
        <f aca="false">H43-H48-H54-H67</f>
        <v>18298.7222938896</v>
      </c>
      <c r="I68" s="42" t="n">
        <f aca="false">I43-I48-I54-I67</f>
        <v>37197.6552114454</v>
      </c>
    </row>
    <row r="69" customFormat="false" ht="15" hidden="false" customHeight="false" outlineLevel="0" collapsed="false">
      <c r="A69" s="3" t="s">
        <v>520</v>
      </c>
      <c r="G69" s="45" t="n">
        <f aca="false">IF(G36=0,0,G68/G36)</f>
        <v>0.0347881164784111</v>
      </c>
      <c r="H69" s="45" t="n">
        <f aca="false">IF(H36=0,0,H68/H36)</f>
        <v>0.234812216270601</v>
      </c>
      <c r="I69" s="45" t="n">
        <f aca="false">IF(I36=0,0,I68/I36)</f>
        <v>0.340947452895029</v>
      </c>
    </row>
    <row r="70" customFormat="false" ht="15" hidden="false" customHeight="false" outlineLevel="0" collapsed="false">
      <c r="A70" s="31" t="s">
        <v>521</v>
      </c>
      <c r="G70" s="44" t="n">
        <f aca="false">G68*12</f>
        <v>21145.8718923385</v>
      </c>
      <c r="H70" s="44" t="n">
        <f aca="false">H68*12</f>
        <v>219584.667526675</v>
      </c>
      <c r="I70" s="44" t="n">
        <f aca="false">I68*12</f>
        <v>446371.862537344</v>
      </c>
    </row>
    <row r="72" customFormat="false" ht="15" hidden="false" customHeight="false" outlineLevel="0" collapsed="false">
      <c r="A72" s="7" t="s">
        <v>522</v>
      </c>
      <c r="G72" s="41" t="n">
        <f aca="false">G37-G37/(1+Assumptions!$B$12)</f>
        <v>2018.1729659517</v>
      </c>
      <c r="H72" s="41" t="n">
        <f aca="false">H37-H37/(1+Assumptions!$B$12)</f>
        <v>3104.88148607955</v>
      </c>
      <c r="I72" s="41" t="n">
        <f aca="false">I37-I37/(1+Assumptions!$B$12)</f>
        <v>4346.83408051136</v>
      </c>
    </row>
    <row r="73" customFormat="false" ht="15" hidden="false" customHeight="false" outlineLevel="0" collapsed="false">
      <c r="A73" s="31" t="s">
        <v>523</v>
      </c>
      <c r="G73" s="44" t="n">
        <f aca="false">G68+G72</f>
        <v>3780.32895697992</v>
      </c>
      <c r="H73" s="44" t="n">
        <f aca="false">H68+H72</f>
        <v>21403.6037799691</v>
      </c>
      <c r="I73" s="44" t="n">
        <f aca="false">I68+I72</f>
        <v>41544.4892919567</v>
      </c>
    </row>
    <row r="74" customFormat="false" ht="15" hidden="false" customHeight="false" outlineLevel="0" collapsed="false">
      <c r="A74" s="31" t="s">
        <v>524</v>
      </c>
      <c r="G74" s="46" t="n">
        <f aca="false">IF(G68&lt;1000,"Not at this volume",'Startup Budget'!$F$50/G68)</f>
        <v>264.570171638418</v>
      </c>
      <c r="H74" s="46" t="n">
        <f aca="false">IF(H68&lt;1000,"Not at this volume",'Startup Budget'!$F$50/H68)</f>
        <v>25.4779489798412</v>
      </c>
      <c r="I74" s="46" t="n">
        <f aca="false">IF(I68&lt;1000,"Not at this volume",'Startup Budget'!$F$50/I68)</f>
        <v>12.533422075931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4"/>
    <col collapsed="false" customWidth="true" hidden="false" outlineLevel="0" max="4" min="4" style="0" width="60"/>
  </cols>
  <sheetData>
    <row r="1" customFormat="false" ht="17.35" hidden="false" customHeight="false" outlineLevel="0" collapsed="false">
      <c r="A1" s="1" t="s">
        <v>525</v>
      </c>
      <c r="B1" s="2"/>
      <c r="C1" s="2"/>
      <c r="D1" s="2"/>
    </row>
    <row r="2" customFormat="false" ht="15" hidden="false" customHeight="false" outlineLevel="0" collapsed="false">
      <c r="A2" s="3" t="s">
        <v>526</v>
      </c>
    </row>
    <row r="4" customFormat="false" ht="15" hidden="false" customHeight="false" outlineLevel="0" collapsed="false">
      <c r="A4" s="5" t="s">
        <v>527</v>
      </c>
      <c r="B4" s="6"/>
      <c r="C4" s="6"/>
      <c r="D4" s="6"/>
    </row>
    <row r="5" customFormat="false" ht="15" hidden="false" customHeight="false" outlineLevel="0" collapsed="false">
      <c r="A5" s="7" t="s">
        <v>528</v>
      </c>
      <c r="B5" s="41" t="n">
        <f aca="false">'Sales &amp; P&amp;L'!$H$48</f>
        <v>16123.86</v>
      </c>
      <c r="D5" s="3" t="s">
        <v>529</v>
      </c>
    </row>
    <row r="6" customFormat="false" ht="15" hidden="false" customHeight="false" outlineLevel="0" collapsed="false">
      <c r="A6" s="7" t="s">
        <v>530</v>
      </c>
      <c r="B6" s="41" t="n">
        <f aca="false">'Sales &amp; P&amp;L'!$H$54</f>
        <v>9300</v>
      </c>
      <c r="D6" s="3"/>
    </row>
    <row r="7" customFormat="false" ht="15" hidden="false" customHeight="false" outlineLevel="0" collapsed="false">
      <c r="A7" s="7" t="s">
        <v>531</v>
      </c>
      <c r="B7" s="41" t="n">
        <f aca="false">'Sales &amp; P&amp;L'!$H$67-'Sales &amp; P&amp;L'!$H$55-'Sales &amp; P&amp;L'!$H$56</f>
        <v>3524.75</v>
      </c>
      <c r="D7" s="3"/>
    </row>
    <row r="8" customFormat="false" ht="15" hidden="false" customHeight="false" outlineLevel="0" collapsed="false">
      <c r="A8" s="31" t="s">
        <v>532</v>
      </c>
      <c r="B8" s="44" t="n">
        <f aca="false">B5+B6+B7</f>
        <v>28948.61</v>
      </c>
      <c r="D8" s="3"/>
    </row>
    <row r="10" customFormat="false" ht="15" hidden="false" customHeight="false" outlineLevel="0" collapsed="false">
      <c r="A10" s="5" t="s">
        <v>533</v>
      </c>
      <c r="B10" s="6"/>
      <c r="C10" s="6"/>
      <c r="D10" s="6"/>
    </row>
    <row r="11" customFormat="false" ht="15" hidden="false" customHeight="false" outlineLevel="0" collapsed="false">
      <c r="A11" s="7" t="s">
        <v>534</v>
      </c>
      <c r="B11" s="47" t="n">
        <f aca="false">'Sales &amp; P&amp;L'!$H$41/'Sales &amp; P&amp;L'!$H$36</f>
        <v>0.344714455543902</v>
      </c>
      <c r="D11" s="3"/>
    </row>
    <row r="12" customFormat="false" ht="15" hidden="false" customHeight="false" outlineLevel="0" collapsed="false">
      <c r="A12" s="7" t="s">
        <v>535</v>
      </c>
      <c r="B12" s="47" t="n">
        <f aca="false">Assumptions!$B$97</f>
        <v>0.029</v>
      </c>
      <c r="D12" s="3"/>
    </row>
    <row r="13" customFormat="false" ht="15" hidden="false" customHeight="false" outlineLevel="0" collapsed="false">
      <c r="A13" s="7" t="s">
        <v>536</v>
      </c>
      <c r="B13" s="47" t="n">
        <f aca="false">Assumptions!$B$98</f>
        <v>0.02</v>
      </c>
      <c r="D13" s="3"/>
    </row>
    <row r="14" customFormat="false" ht="15" hidden="false" customHeight="false" outlineLevel="0" collapsed="false">
      <c r="A14" s="31" t="s">
        <v>537</v>
      </c>
      <c r="B14" s="39" t="n">
        <f aca="false">1-B11-B12-B13</f>
        <v>0.606285544456098</v>
      </c>
      <c r="D14" s="3"/>
    </row>
    <row r="16" customFormat="false" ht="15" hidden="false" customHeight="false" outlineLevel="0" collapsed="false">
      <c r="A16" s="5" t="s">
        <v>538</v>
      </c>
      <c r="B16" s="6"/>
      <c r="C16" s="6"/>
      <c r="D16" s="6"/>
    </row>
    <row r="17" customFormat="false" ht="15" hidden="false" customHeight="false" outlineLevel="0" collapsed="false">
      <c r="A17" s="31" t="s">
        <v>539</v>
      </c>
      <c r="B17" s="44" t="n">
        <f aca="false">B8/B14</f>
        <v>47747.4850995663</v>
      </c>
      <c r="D17" s="3"/>
    </row>
    <row r="18" customFormat="false" ht="15" hidden="false" customHeight="false" outlineLevel="0" collapsed="false">
      <c r="A18" s="31" t="s">
        <v>30</v>
      </c>
      <c r="B18" s="44" t="n">
        <f aca="false">B17/Assumptions!$B$6</f>
        <v>11027.1328174518</v>
      </c>
      <c r="D18" s="3" t="s">
        <v>540</v>
      </c>
    </row>
    <row r="19" customFormat="false" ht="15" hidden="false" customHeight="false" outlineLevel="0" collapsed="false">
      <c r="A19" s="31" t="s">
        <v>541</v>
      </c>
      <c r="B19" s="44" t="n">
        <f aca="false">B18/Assumptions!$B$5</f>
        <v>2205.42656349036</v>
      </c>
      <c r="D19" s="3"/>
    </row>
    <row r="20" customFormat="false" ht="15" hidden="false" customHeight="false" outlineLevel="0" collapsed="false">
      <c r="A20" s="7" t="s">
        <v>542</v>
      </c>
      <c r="B20" s="43" t="n">
        <f aca="false">B19/Assumptions!$B$10</f>
        <v>47.1244992198795</v>
      </c>
      <c r="D20" s="3"/>
    </row>
    <row r="21" customFormat="false" ht="15" hidden="false" customHeight="false" outlineLevel="0" collapsed="false">
      <c r="A21" s="7" t="s">
        <v>543</v>
      </c>
      <c r="B21" s="40" t="n">
        <f aca="false">B19/Assumptions!$B$50</f>
        <v>36.7632365976056</v>
      </c>
      <c r="D21" s="3" t="s">
        <v>544</v>
      </c>
    </row>
    <row r="22" customFormat="false" ht="15" hidden="false" customHeight="false" outlineLevel="0" collapsed="false">
      <c r="A22" s="7" t="s">
        <v>545</v>
      </c>
      <c r="B22" s="41" t="n">
        <f aca="false">'Sales &amp; P&amp;L'!$H$25</f>
        <v>3599.5</v>
      </c>
      <c r="D22" s="3"/>
    </row>
    <row r="23" customFormat="false" ht="15" hidden="false" customHeight="false" outlineLevel="0" collapsed="false">
      <c r="A23" s="31" t="s">
        <v>546</v>
      </c>
      <c r="B23" s="39" t="n">
        <f aca="false">B22/B19-1</f>
        <v>0.632110567446574</v>
      </c>
      <c r="D23" s="3"/>
    </row>
    <row r="25" customFormat="false" ht="15" hidden="false" customHeight="false" outlineLevel="0" collapsed="false">
      <c r="A25" s="5" t="s">
        <v>547</v>
      </c>
      <c r="B25" s="6"/>
      <c r="C25" s="6"/>
      <c r="D25" s="6"/>
    </row>
    <row r="26" customFormat="false" ht="15" hidden="false" customHeight="false" outlineLevel="0" collapsed="false">
      <c r="A26" s="48" t="s">
        <v>548</v>
      </c>
      <c r="B26" s="17" t="n">
        <v>0.2</v>
      </c>
      <c r="D26" s="3" t="s">
        <v>549</v>
      </c>
    </row>
    <row r="27" customFormat="false" ht="15" hidden="false" customHeight="false" outlineLevel="0" collapsed="false">
      <c r="A27" s="7" t="s">
        <v>550</v>
      </c>
      <c r="B27" s="41" t="n">
        <f aca="false">'Startup Budget'!$F$50*B26/12</f>
        <v>7770.23188333333</v>
      </c>
      <c r="D27" s="3"/>
    </row>
    <row r="28" customFormat="false" ht="15" hidden="false" customHeight="false" outlineLevel="0" collapsed="false">
      <c r="A28" s="31" t="s">
        <v>551</v>
      </c>
      <c r="B28" s="44" t="n">
        <f aca="false">(B8+B27)/B14/Assumptions!$B$6/Assumptions!$B$5</f>
        <v>2797.3954283161</v>
      </c>
      <c r="D28"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2"/>
    <col collapsed="false" customWidth="true" hidden="false" outlineLevel="0" max="4" min="4" style="0" width="7"/>
    <col collapsed="false" customWidth="true" hidden="false" outlineLevel="0" max="5" min="5" style="0" width="13"/>
    <col collapsed="false" customWidth="true" hidden="false" outlineLevel="0" max="7" min="6" style="0" width="15"/>
    <col collapsed="false" customWidth="true" hidden="false" outlineLevel="0" max="8" min="8" style="0" width="4"/>
    <col collapsed="false" customWidth="true" hidden="false" outlineLevel="0" max="9" min="9" style="0" width="62"/>
  </cols>
  <sheetData>
    <row r="1" customFormat="false" ht="17.35" hidden="false" customHeight="false" outlineLevel="0" collapsed="false">
      <c r="A1" s="1" t="s">
        <v>552</v>
      </c>
      <c r="B1" s="2"/>
      <c r="C1" s="2"/>
      <c r="D1" s="2"/>
      <c r="E1" s="2"/>
      <c r="F1" s="2"/>
      <c r="G1" s="2"/>
      <c r="H1" s="2"/>
      <c r="I1" s="2"/>
    </row>
    <row r="2" customFormat="false" ht="15" hidden="false" customHeight="false" outlineLevel="0" collapsed="false">
      <c r="A2" s="3" t="s">
        <v>553</v>
      </c>
    </row>
    <row r="4" customFormat="false" ht="31.5" hidden="false" customHeight="true" outlineLevel="0" collapsed="false">
      <c r="A4" s="4" t="s">
        <v>406</v>
      </c>
      <c r="B4" s="4" t="s">
        <v>366</v>
      </c>
      <c r="C4" s="4" t="s">
        <v>554</v>
      </c>
      <c r="D4" s="4" t="s">
        <v>555</v>
      </c>
      <c r="E4" s="4" t="s">
        <v>556</v>
      </c>
      <c r="F4" s="4" t="s">
        <v>557</v>
      </c>
      <c r="G4" s="4" t="s">
        <v>558</v>
      </c>
      <c r="H4" s="4"/>
      <c r="I4" s="4" t="s">
        <v>559</v>
      </c>
    </row>
    <row r="5" customFormat="false" ht="15" hidden="false" customHeight="false" outlineLevel="0" collapsed="false">
      <c r="A5" s="7" t="s">
        <v>560</v>
      </c>
      <c r="B5" s="7" t="s">
        <v>561</v>
      </c>
      <c r="C5" s="7" t="s">
        <v>562</v>
      </c>
      <c r="D5" s="26" t="n">
        <v>2</v>
      </c>
      <c r="E5" s="21" t="n">
        <v>22656</v>
      </c>
      <c r="F5" s="41" t="n">
        <f aca="false">D5*E5</f>
        <v>45312</v>
      </c>
      <c r="G5" s="41" t="n">
        <f aca="false">F5</f>
        <v>45312</v>
      </c>
      <c r="I5" s="3" t="s">
        <v>563</v>
      </c>
    </row>
    <row r="6" customFormat="false" ht="15" hidden="false" customHeight="false" outlineLevel="0" collapsed="false">
      <c r="A6" s="7" t="s">
        <v>560</v>
      </c>
      <c r="B6" s="7" t="s">
        <v>564</v>
      </c>
      <c r="C6" s="7" t="s">
        <v>565</v>
      </c>
      <c r="D6" s="26" t="n">
        <v>1</v>
      </c>
      <c r="E6" s="21" t="n">
        <v>1300</v>
      </c>
      <c r="F6" s="41" t="n">
        <f aca="false">D6*E6</f>
        <v>1300</v>
      </c>
      <c r="G6" s="41" t="n">
        <f aca="false">F6</f>
        <v>1300</v>
      </c>
      <c r="I6" s="3" t="s">
        <v>566</v>
      </c>
    </row>
    <row r="7" customFormat="false" ht="15" hidden="false" customHeight="false" outlineLevel="0" collapsed="false">
      <c r="A7" s="7" t="s">
        <v>560</v>
      </c>
      <c r="B7" s="7" t="s">
        <v>567</v>
      </c>
      <c r="C7" s="7" t="s">
        <v>568</v>
      </c>
      <c r="D7" s="26" t="n">
        <v>2</v>
      </c>
      <c r="E7" s="21" t="n">
        <v>12533</v>
      </c>
      <c r="F7" s="41" t="n">
        <f aca="false">D7*E7</f>
        <v>25066</v>
      </c>
      <c r="G7" s="41" t="n">
        <f aca="false">F7</f>
        <v>25066</v>
      </c>
      <c r="I7" s="3" t="s">
        <v>569</v>
      </c>
    </row>
    <row r="8" customFormat="false" ht="15" hidden="false" customHeight="false" outlineLevel="0" collapsed="false">
      <c r="A8" s="7" t="s">
        <v>560</v>
      </c>
      <c r="B8" s="7" t="s">
        <v>570</v>
      </c>
      <c r="C8" s="7" t="s">
        <v>571</v>
      </c>
      <c r="D8" s="26" t="n">
        <v>1</v>
      </c>
      <c r="E8" s="21" t="n">
        <v>11800</v>
      </c>
      <c r="F8" s="41" t="n">
        <f aca="false">D8*E8</f>
        <v>11800</v>
      </c>
      <c r="G8" s="41" t="n">
        <f aca="false">F8</f>
        <v>11800</v>
      </c>
      <c r="I8" s="3" t="s">
        <v>572</v>
      </c>
    </row>
    <row r="9" customFormat="false" ht="15" hidden="false" customHeight="false" outlineLevel="0" collapsed="false">
      <c r="A9" s="7" t="s">
        <v>560</v>
      </c>
      <c r="B9" s="7" t="s">
        <v>573</v>
      </c>
      <c r="C9" s="7" t="s">
        <v>574</v>
      </c>
      <c r="D9" s="26" t="n">
        <v>1</v>
      </c>
      <c r="E9" s="21" t="n">
        <v>20014</v>
      </c>
      <c r="F9" s="41" t="n">
        <f aca="false">D9*E9</f>
        <v>20014</v>
      </c>
      <c r="G9" s="41" t="n">
        <f aca="false">F9</f>
        <v>20014</v>
      </c>
      <c r="I9" s="3" t="s">
        <v>575</v>
      </c>
    </row>
    <row r="10" customFormat="false" ht="15" hidden="false" customHeight="false" outlineLevel="0" collapsed="false">
      <c r="A10" s="7" t="s">
        <v>560</v>
      </c>
      <c r="B10" s="7" t="s">
        <v>576</v>
      </c>
      <c r="C10" s="7" t="s">
        <v>577</v>
      </c>
      <c r="D10" s="26" t="n">
        <v>1</v>
      </c>
      <c r="E10" s="21" t="n">
        <v>9132</v>
      </c>
      <c r="F10" s="41" t="n">
        <f aca="false">D10*E10</f>
        <v>9132</v>
      </c>
      <c r="G10" s="41" t="n">
        <f aca="false">F10</f>
        <v>9132</v>
      </c>
      <c r="I10" s="3" t="s">
        <v>578</v>
      </c>
    </row>
    <row r="11" customFormat="false" ht="15" hidden="false" customHeight="false" outlineLevel="0" collapsed="false">
      <c r="A11" s="7" t="s">
        <v>560</v>
      </c>
      <c r="B11" s="7" t="s">
        <v>579</v>
      </c>
      <c r="C11" s="7" t="s">
        <v>580</v>
      </c>
      <c r="D11" s="26" t="n">
        <v>2</v>
      </c>
      <c r="E11" s="21" t="n">
        <v>1015</v>
      </c>
      <c r="F11" s="41" t="n">
        <f aca="false">D11*E11</f>
        <v>2030</v>
      </c>
      <c r="G11" s="41" t="n">
        <f aca="false">F11</f>
        <v>2030</v>
      </c>
      <c r="I11" s="3" t="s">
        <v>581</v>
      </c>
    </row>
    <row r="12" customFormat="false" ht="15" hidden="false" customHeight="false" outlineLevel="0" collapsed="false">
      <c r="A12" s="7" t="s">
        <v>582</v>
      </c>
      <c r="B12" s="7" t="s">
        <v>583</v>
      </c>
      <c r="C12" s="7" t="s">
        <v>584</v>
      </c>
      <c r="D12" s="26" t="n">
        <v>1</v>
      </c>
      <c r="E12" s="21" t="n">
        <v>3994</v>
      </c>
      <c r="F12" s="41" t="n">
        <f aca="false">D12*E12</f>
        <v>3994</v>
      </c>
      <c r="G12" s="41" t="n">
        <f aca="false">F12</f>
        <v>3994</v>
      </c>
      <c r="I12" s="3" t="s">
        <v>585</v>
      </c>
    </row>
    <row r="13" customFormat="false" ht="15" hidden="false" customHeight="false" outlineLevel="0" collapsed="false">
      <c r="A13" s="7" t="s">
        <v>582</v>
      </c>
      <c r="B13" s="7" t="s">
        <v>586</v>
      </c>
      <c r="C13" s="7" t="s">
        <v>587</v>
      </c>
      <c r="D13" s="26" t="n">
        <v>1</v>
      </c>
      <c r="E13" s="21" t="n">
        <v>2800</v>
      </c>
      <c r="F13" s="41" t="n">
        <f aca="false">D13*E13</f>
        <v>2800</v>
      </c>
      <c r="G13" s="41" t="n">
        <f aca="false">F13</f>
        <v>2800</v>
      </c>
      <c r="I13" s="3" t="s">
        <v>588</v>
      </c>
    </row>
    <row r="14" customFormat="false" ht="15" hidden="false" customHeight="false" outlineLevel="0" collapsed="false">
      <c r="A14" s="7" t="s">
        <v>582</v>
      </c>
      <c r="B14" s="7" t="s">
        <v>589</v>
      </c>
      <c r="C14" s="7" t="s">
        <v>590</v>
      </c>
      <c r="D14" s="26" t="n">
        <v>1</v>
      </c>
      <c r="E14" s="21" t="n">
        <v>1800</v>
      </c>
      <c r="F14" s="41" t="n">
        <f aca="false">D14*E14</f>
        <v>1800</v>
      </c>
      <c r="G14" s="41" t="n">
        <f aca="false">F14</f>
        <v>1800</v>
      </c>
      <c r="I14" s="3" t="s">
        <v>80</v>
      </c>
    </row>
    <row r="15" customFormat="false" ht="15" hidden="false" customHeight="false" outlineLevel="0" collapsed="false">
      <c r="A15" s="7" t="s">
        <v>591</v>
      </c>
      <c r="B15" s="7" t="s">
        <v>592</v>
      </c>
      <c r="C15" s="7" t="s">
        <v>593</v>
      </c>
      <c r="D15" s="26" t="n">
        <v>1</v>
      </c>
      <c r="E15" s="21" t="n">
        <v>20886</v>
      </c>
      <c r="F15" s="41" t="n">
        <f aca="false">D15*E15</f>
        <v>20886</v>
      </c>
      <c r="G15" s="21" t="n">
        <v>0</v>
      </c>
      <c r="I15" s="3" t="s">
        <v>594</v>
      </c>
    </row>
    <row r="16" customFormat="false" ht="15" hidden="false" customHeight="false" outlineLevel="0" collapsed="false">
      <c r="A16" s="7" t="s">
        <v>591</v>
      </c>
      <c r="B16" s="7" t="s">
        <v>595</v>
      </c>
      <c r="C16" s="7" t="s">
        <v>596</v>
      </c>
      <c r="D16" s="26" t="n">
        <v>1</v>
      </c>
      <c r="E16" s="21" t="n">
        <v>4000</v>
      </c>
      <c r="F16" s="41" t="n">
        <f aca="false">D16*E16</f>
        <v>4000</v>
      </c>
      <c r="G16" s="21" t="n">
        <v>2500</v>
      </c>
      <c r="I16" s="3" t="s">
        <v>597</v>
      </c>
    </row>
    <row r="17" customFormat="false" ht="15" hidden="false" customHeight="false" outlineLevel="0" collapsed="false">
      <c r="A17" s="7" t="s">
        <v>591</v>
      </c>
      <c r="B17" s="7" t="s">
        <v>598</v>
      </c>
      <c r="C17" s="7" t="s">
        <v>599</v>
      </c>
      <c r="D17" s="26" t="n">
        <v>1</v>
      </c>
      <c r="E17" s="21" t="n">
        <v>3384</v>
      </c>
      <c r="F17" s="41" t="n">
        <f aca="false">D17*E17</f>
        <v>3384</v>
      </c>
      <c r="G17" s="41" t="n">
        <f aca="false">F17</f>
        <v>3384</v>
      </c>
      <c r="I17" s="3" t="s">
        <v>600</v>
      </c>
    </row>
    <row r="18" customFormat="false" ht="15" hidden="false" customHeight="false" outlineLevel="0" collapsed="false">
      <c r="A18" s="7" t="s">
        <v>591</v>
      </c>
      <c r="B18" s="7" t="s">
        <v>601</v>
      </c>
      <c r="C18" s="7" t="s">
        <v>602</v>
      </c>
      <c r="D18" s="26" t="n">
        <v>1</v>
      </c>
      <c r="E18" s="21" t="n">
        <v>7491</v>
      </c>
      <c r="F18" s="41" t="n">
        <f aca="false">D18*E18</f>
        <v>7491</v>
      </c>
      <c r="G18" s="41" t="n">
        <f aca="false">F18</f>
        <v>7491</v>
      </c>
      <c r="I18" s="3" t="s">
        <v>603</v>
      </c>
    </row>
    <row r="19" customFormat="false" ht="15" hidden="false" customHeight="false" outlineLevel="0" collapsed="false">
      <c r="A19" s="7" t="s">
        <v>591</v>
      </c>
      <c r="B19" s="7" t="s">
        <v>604</v>
      </c>
      <c r="C19" s="7" t="s">
        <v>605</v>
      </c>
      <c r="D19" s="26" t="n">
        <v>1</v>
      </c>
      <c r="E19" s="21" t="n">
        <v>6395</v>
      </c>
      <c r="F19" s="41" t="n">
        <f aca="false">D19*E19</f>
        <v>6395</v>
      </c>
      <c r="G19" s="41" t="n">
        <f aca="false">F19</f>
        <v>6395</v>
      </c>
      <c r="I19" s="3" t="s">
        <v>606</v>
      </c>
    </row>
    <row r="20" customFormat="false" ht="15" hidden="false" customHeight="false" outlineLevel="0" collapsed="false">
      <c r="A20" s="7" t="s">
        <v>607</v>
      </c>
      <c r="B20" s="7" t="s">
        <v>608</v>
      </c>
      <c r="C20" s="7" t="s">
        <v>609</v>
      </c>
      <c r="D20" s="26" t="n">
        <v>1</v>
      </c>
      <c r="E20" s="21" t="n">
        <v>569</v>
      </c>
      <c r="F20" s="41" t="n">
        <f aca="false">D20*E20</f>
        <v>569</v>
      </c>
      <c r="G20" s="21" t="n">
        <v>0</v>
      </c>
      <c r="I20" s="3" t="s">
        <v>610</v>
      </c>
    </row>
    <row r="21" customFormat="false" ht="15" hidden="false" customHeight="false" outlineLevel="0" collapsed="false">
      <c r="A21" s="7" t="s">
        <v>607</v>
      </c>
      <c r="B21" s="7" t="s">
        <v>611</v>
      </c>
      <c r="C21" s="7" t="s">
        <v>612</v>
      </c>
      <c r="D21" s="26" t="n">
        <v>3</v>
      </c>
      <c r="E21" s="21" t="n">
        <v>361</v>
      </c>
      <c r="F21" s="41" t="n">
        <f aca="false">D21*E21</f>
        <v>1083</v>
      </c>
      <c r="G21" s="21" t="n">
        <v>0</v>
      </c>
      <c r="I21" s="3" t="s">
        <v>613</v>
      </c>
    </row>
    <row r="22" customFormat="false" ht="15" hidden="false" customHeight="false" outlineLevel="0" collapsed="false">
      <c r="A22" s="7" t="s">
        <v>607</v>
      </c>
      <c r="B22" s="7" t="s">
        <v>614</v>
      </c>
      <c r="C22" s="7"/>
      <c r="D22" s="26" t="n">
        <v>1</v>
      </c>
      <c r="E22" s="21" t="n">
        <v>900</v>
      </c>
      <c r="F22" s="41" t="n">
        <f aca="false">D22*E22</f>
        <v>900</v>
      </c>
      <c r="G22" s="21" t="n">
        <v>0</v>
      </c>
      <c r="I22" s="3" t="s">
        <v>615</v>
      </c>
    </row>
    <row r="23" customFormat="false" ht="15" hidden="false" customHeight="false" outlineLevel="0" collapsed="false">
      <c r="A23" s="7" t="s">
        <v>607</v>
      </c>
      <c r="B23" s="7" t="s">
        <v>616</v>
      </c>
      <c r="C23" s="7" t="s">
        <v>617</v>
      </c>
      <c r="D23" s="26" t="n">
        <v>2</v>
      </c>
      <c r="E23" s="21" t="n">
        <v>189</v>
      </c>
      <c r="F23" s="41" t="n">
        <f aca="false">D23*E23</f>
        <v>378</v>
      </c>
      <c r="G23" s="41" t="n">
        <f aca="false">F23</f>
        <v>378</v>
      </c>
      <c r="I23" s="3" t="s">
        <v>618</v>
      </c>
    </row>
    <row r="24" customFormat="false" ht="15" hidden="false" customHeight="false" outlineLevel="0" collapsed="false">
      <c r="A24" s="7" t="s">
        <v>607</v>
      </c>
      <c r="B24" s="7" t="s">
        <v>619</v>
      </c>
      <c r="C24" s="7" t="s">
        <v>620</v>
      </c>
      <c r="D24" s="26" t="n">
        <v>8</v>
      </c>
      <c r="E24" s="21" t="n">
        <v>180</v>
      </c>
      <c r="F24" s="41" t="n">
        <f aca="false">D24*E24</f>
        <v>1440</v>
      </c>
      <c r="G24" s="41" t="n">
        <f aca="false">F24</f>
        <v>1440</v>
      </c>
      <c r="I24" s="3" t="s">
        <v>80</v>
      </c>
    </row>
    <row r="25" customFormat="false" ht="15" hidden="false" customHeight="false" outlineLevel="0" collapsed="false">
      <c r="A25" s="7" t="s">
        <v>621</v>
      </c>
      <c r="B25" s="7" t="s">
        <v>622</v>
      </c>
      <c r="C25" s="7" t="s">
        <v>623</v>
      </c>
      <c r="D25" s="26" t="n">
        <v>16</v>
      </c>
      <c r="E25" s="21" t="n">
        <v>1100</v>
      </c>
      <c r="F25" s="41" t="n">
        <f aca="false">D25*E25</f>
        <v>17600</v>
      </c>
      <c r="G25" s="21" t="n">
        <v>9500</v>
      </c>
      <c r="I25" s="3" t="s">
        <v>624</v>
      </c>
    </row>
    <row r="26" customFormat="false" ht="15" hidden="false" customHeight="false" outlineLevel="0" collapsed="false">
      <c r="A26" s="7" t="s">
        <v>621</v>
      </c>
      <c r="B26" s="7" t="s">
        <v>625</v>
      </c>
      <c r="C26" s="7" t="s">
        <v>626</v>
      </c>
      <c r="D26" s="26" t="n">
        <v>1</v>
      </c>
      <c r="E26" s="21" t="n">
        <v>12000</v>
      </c>
      <c r="F26" s="41" t="n">
        <f aca="false">D26*E26</f>
        <v>12000</v>
      </c>
      <c r="G26" s="21" t="n">
        <v>1500</v>
      </c>
      <c r="I26" s="3" t="s">
        <v>627</v>
      </c>
    </row>
    <row r="27" customFormat="false" ht="15" hidden="false" customHeight="false" outlineLevel="0" collapsed="false">
      <c r="A27" s="7" t="s">
        <v>628</v>
      </c>
      <c r="B27" s="7" t="s">
        <v>629</v>
      </c>
      <c r="C27" s="7" t="s">
        <v>630</v>
      </c>
      <c r="D27" s="26" t="n">
        <v>1</v>
      </c>
      <c r="E27" s="21" t="n">
        <v>5099</v>
      </c>
      <c r="F27" s="41" t="n">
        <f aca="false">D27*E27</f>
        <v>5099</v>
      </c>
      <c r="G27" s="41" t="n">
        <f aca="false">F27</f>
        <v>5099</v>
      </c>
      <c r="I27" s="3" t="s">
        <v>631</v>
      </c>
    </row>
    <row r="28" customFormat="false" ht="15" hidden="false" customHeight="false" outlineLevel="0" collapsed="false">
      <c r="A28" s="7" t="s">
        <v>628</v>
      </c>
      <c r="B28" s="7" t="s">
        <v>632</v>
      </c>
      <c r="C28" s="7" t="s">
        <v>633</v>
      </c>
      <c r="D28" s="26" t="n">
        <v>1</v>
      </c>
      <c r="E28" s="21" t="n">
        <v>8500</v>
      </c>
      <c r="F28" s="41" t="n">
        <f aca="false">D28*E28</f>
        <v>8500</v>
      </c>
      <c r="G28" s="41" t="n">
        <f aca="false">F28</f>
        <v>8500</v>
      </c>
      <c r="I28" s="3" t="s">
        <v>80</v>
      </c>
    </row>
    <row r="29" customFormat="false" ht="15" hidden="false" customHeight="false" outlineLevel="0" collapsed="false">
      <c r="A29" s="7" t="s">
        <v>628</v>
      </c>
      <c r="B29" s="7" t="s">
        <v>634</v>
      </c>
      <c r="C29" s="7" t="s">
        <v>635</v>
      </c>
      <c r="D29" s="26" t="n">
        <v>1</v>
      </c>
      <c r="E29" s="21" t="n">
        <v>3550</v>
      </c>
      <c r="F29" s="41" t="n">
        <f aca="false">D29*E29</f>
        <v>3550</v>
      </c>
      <c r="G29" s="41" t="n">
        <f aca="false">F29</f>
        <v>3550</v>
      </c>
      <c r="I29" s="3" t="s">
        <v>636</v>
      </c>
    </row>
    <row r="30" customFormat="false" ht="15" hidden="false" customHeight="false" outlineLevel="0" collapsed="false">
      <c r="A30" s="7" t="s">
        <v>628</v>
      </c>
      <c r="B30" s="7" t="s">
        <v>637</v>
      </c>
      <c r="C30" s="7" t="s">
        <v>638</v>
      </c>
      <c r="D30" s="26" t="n">
        <v>1</v>
      </c>
      <c r="E30" s="21" t="n">
        <v>13500</v>
      </c>
      <c r="F30" s="41" t="n">
        <f aca="false">D30*E30</f>
        <v>13500</v>
      </c>
      <c r="G30" s="41" t="n">
        <f aca="false">F30</f>
        <v>13500</v>
      </c>
      <c r="I30" s="3" t="s">
        <v>639</v>
      </c>
    </row>
    <row r="31" customFormat="false" ht="15" hidden="false" customHeight="false" outlineLevel="0" collapsed="false">
      <c r="A31" s="7" t="s">
        <v>640</v>
      </c>
      <c r="B31" s="7" t="s">
        <v>641</v>
      </c>
      <c r="C31" s="7"/>
      <c r="D31" s="26" t="n">
        <v>1</v>
      </c>
      <c r="E31" s="21" t="n">
        <v>8000</v>
      </c>
      <c r="F31" s="41" t="n">
        <f aca="false">D31*E31</f>
        <v>8000</v>
      </c>
      <c r="G31" s="41" t="n">
        <f aca="false">F31</f>
        <v>8000</v>
      </c>
      <c r="I31" s="3" t="s">
        <v>642</v>
      </c>
    </row>
    <row r="32" customFormat="false" ht="15" hidden="false" customHeight="false" outlineLevel="0" collapsed="false">
      <c r="B32" s="31" t="s">
        <v>643</v>
      </c>
      <c r="F32" s="42" t="n">
        <f aca="false">SUM(F5:F31)</f>
        <v>238023</v>
      </c>
      <c r="G32" s="42" t="n">
        <f aca="false">SUM(G5:G31)</f>
        <v>194485</v>
      </c>
    </row>
    <row r="34" customFormat="false" ht="15" hidden="false" customHeight="false" outlineLevel="0" collapsed="false">
      <c r="A34" s="5" t="s">
        <v>644</v>
      </c>
      <c r="B34" s="6"/>
      <c r="C34" s="6"/>
      <c r="D34" s="6"/>
      <c r="E34" s="6"/>
      <c r="F34" s="6"/>
      <c r="G34" s="6"/>
      <c r="H34" s="6"/>
      <c r="I34" s="6"/>
    </row>
    <row r="35" customFormat="false" ht="15" hidden="false" customHeight="false" outlineLevel="0" collapsed="false">
      <c r="A35" s="7" t="s">
        <v>645</v>
      </c>
      <c r="B35" s="7" t="s">
        <v>646</v>
      </c>
      <c r="C35" s="7" t="s">
        <v>647</v>
      </c>
      <c r="D35" s="26" t="n">
        <v>1500</v>
      </c>
      <c r="E35" s="21" t="n">
        <v>175</v>
      </c>
      <c r="F35" s="41" t="n">
        <f aca="false">D35*E35</f>
        <v>262500</v>
      </c>
      <c r="G35" s="41" t="n">
        <f aca="false">D35*60</f>
        <v>90000</v>
      </c>
      <c r="I35" s="3" t="s">
        <v>648</v>
      </c>
    </row>
    <row r="36" customFormat="false" ht="15" hidden="false" customHeight="false" outlineLevel="0" collapsed="false">
      <c r="A36" s="7" t="s">
        <v>645</v>
      </c>
      <c r="B36" s="7" t="s">
        <v>649</v>
      </c>
      <c r="C36" s="7"/>
      <c r="D36" s="26" t="n">
        <v>1</v>
      </c>
      <c r="E36" s="21" t="n">
        <v>0</v>
      </c>
      <c r="F36" s="41" t="n">
        <f aca="false">D36*E36</f>
        <v>0</v>
      </c>
      <c r="G36" s="21" t="n">
        <v>8000</v>
      </c>
      <c r="I36" s="3" t="s">
        <v>650</v>
      </c>
    </row>
    <row r="37" customFormat="false" ht="15" hidden="false" customHeight="false" outlineLevel="0" collapsed="false">
      <c r="A37" s="7" t="s">
        <v>645</v>
      </c>
      <c r="B37" s="7" t="s">
        <v>651</v>
      </c>
      <c r="C37" s="7"/>
      <c r="D37" s="26" t="n">
        <v>1</v>
      </c>
      <c r="E37" s="21" t="n">
        <v>15000</v>
      </c>
      <c r="F37" s="41" t="n">
        <f aca="false">D37*E37</f>
        <v>15000</v>
      </c>
      <c r="G37" s="21" t="n">
        <v>500</v>
      </c>
      <c r="I37" s="3" t="s">
        <v>652</v>
      </c>
    </row>
    <row r="38" customFormat="false" ht="15" hidden="false" customHeight="false" outlineLevel="0" collapsed="false">
      <c r="A38" s="7" t="s">
        <v>653</v>
      </c>
      <c r="B38" s="7" t="s">
        <v>654</v>
      </c>
      <c r="C38" s="7"/>
      <c r="D38" s="26" t="n">
        <v>1</v>
      </c>
      <c r="E38" s="21" t="n">
        <v>25000</v>
      </c>
      <c r="F38" s="41" t="n">
        <f aca="false">D38*E38</f>
        <v>25000</v>
      </c>
      <c r="G38" s="21" t="n">
        <v>12000</v>
      </c>
      <c r="I38" s="3" t="s">
        <v>655</v>
      </c>
    </row>
    <row r="39" customFormat="false" ht="15" hidden="false" customHeight="false" outlineLevel="0" collapsed="false">
      <c r="A39" s="7" t="s">
        <v>656</v>
      </c>
      <c r="B39" s="7" t="s">
        <v>657</v>
      </c>
      <c r="C39" s="7"/>
      <c r="D39" s="26" t="n">
        <v>2</v>
      </c>
      <c r="E39" s="8" t="n">
        <f aca="false">Assumptions!$B$84+Assumptions!$B$85</f>
        <v>7500</v>
      </c>
      <c r="F39" s="41" t="n">
        <f aca="false">D39*E39</f>
        <v>15000</v>
      </c>
      <c r="G39" s="41" t="n">
        <f aca="false">F39</f>
        <v>15000</v>
      </c>
      <c r="I39" s="3" t="s">
        <v>658</v>
      </c>
    </row>
    <row r="40" customFormat="false" ht="15" hidden="false" customHeight="false" outlineLevel="0" collapsed="false">
      <c r="A40" s="7" t="s">
        <v>656</v>
      </c>
      <c r="B40" s="7" t="s">
        <v>659</v>
      </c>
      <c r="C40" s="7"/>
      <c r="D40" s="26" t="n">
        <v>1</v>
      </c>
      <c r="E40" s="21" t="n">
        <v>8000</v>
      </c>
      <c r="F40" s="41" t="n">
        <f aca="false">D40*E40</f>
        <v>8000</v>
      </c>
      <c r="G40" s="41" t="n">
        <f aca="false">F40</f>
        <v>8000</v>
      </c>
      <c r="I40" s="3" t="s">
        <v>80</v>
      </c>
    </row>
    <row r="41" customFormat="false" ht="15" hidden="false" customHeight="false" outlineLevel="0" collapsed="false">
      <c r="A41" s="7" t="s">
        <v>656</v>
      </c>
      <c r="B41" s="7" t="s">
        <v>660</v>
      </c>
      <c r="C41" s="7"/>
      <c r="D41" s="26" t="n">
        <v>1</v>
      </c>
      <c r="E41" s="21" t="n">
        <v>4000</v>
      </c>
      <c r="F41" s="41" t="n">
        <f aca="false">D41*E41</f>
        <v>4000</v>
      </c>
      <c r="G41" s="41" t="n">
        <f aca="false">F41</f>
        <v>4000</v>
      </c>
      <c r="I41" s="3" t="s">
        <v>80</v>
      </c>
    </row>
    <row r="42" customFormat="false" ht="15" hidden="false" customHeight="false" outlineLevel="0" collapsed="false">
      <c r="A42" s="7" t="s">
        <v>656</v>
      </c>
      <c r="B42" s="7" t="s">
        <v>661</v>
      </c>
      <c r="C42" s="7"/>
      <c r="D42" s="26" t="n">
        <v>1</v>
      </c>
      <c r="E42" s="21" t="n">
        <v>5000</v>
      </c>
      <c r="F42" s="41" t="n">
        <f aca="false">D42*E42</f>
        <v>5000</v>
      </c>
      <c r="G42" s="41" t="n">
        <f aca="false">F42</f>
        <v>5000</v>
      </c>
      <c r="I42" s="3" t="s">
        <v>80</v>
      </c>
    </row>
    <row r="43" customFormat="false" ht="15" hidden="false" customHeight="false" outlineLevel="0" collapsed="false">
      <c r="A43" s="7" t="s">
        <v>656</v>
      </c>
      <c r="B43" s="7" t="s">
        <v>662</v>
      </c>
      <c r="C43" s="7"/>
      <c r="D43" s="26" t="n">
        <v>1</v>
      </c>
      <c r="E43" s="8" t="n">
        <f aca="false">'Break-Even'!$B$8*3</f>
        <v>86845.83</v>
      </c>
      <c r="F43" s="41" t="n">
        <f aca="false">D43*E43</f>
        <v>86845.83</v>
      </c>
      <c r="G43" s="41" t="n">
        <f aca="false">F43</f>
        <v>86845.83</v>
      </c>
      <c r="I43" s="3" t="s">
        <v>663</v>
      </c>
    </row>
    <row r="44" customFormat="false" ht="15" hidden="false" customHeight="false" outlineLevel="0" collapsed="false">
      <c r="B44" s="31" t="s">
        <v>664</v>
      </c>
      <c r="F44" s="42" t="n">
        <f aca="false">SUM(F35:F43)</f>
        <v>421345.83</v>
      </c>
      <c r="G44" s="42" t="n">
        <f aca="false">SUM(G35:G43)</f>
        <v>229345.83</v>
      </c>
    </row>
    <row r="46" customFormat="false" ht="15" hidden="false" customHeight="false" outlineLevel="0" collapsed="false">
      <c r="B46" s="7" t="s">
        <v>665</v>
      </c>
      <c r="E46" s="24" t="n">
        <v>0.1</v>
      </c>
      <c r="F46" s="41" t="n">
        <f aca="false">(F32+F44)*$E$46</f>
        <v>65936.883</v>
      </c>
      <c r="G46" s="41" t="n">
        <f aca="false">(G32+G44)*$E$46</f>
        <v>42383.083</v>
      </c>
    </row>
    <row r="47" customFormat="false" ht="15" hidden="false" customHeight="false" outlineLevel="0" collapsed="false">
      <c r="B47" s="49" t="s">
        <v>666</v>
      </c>
      <c r="F47" s="50" t="n">
        <f aca="false">F32+F44+F46</f>
        <v>725305.713</v>
      </c>
      <c r="G47" s="50" t="n">
        <f aca="false">G32+G44+G46</f>
        <v>466213.913</v>
      </c>
    </row>
    <row r="48" customFormat="false" ht="15" hidden="false" customHeight="false" outlineLevel="0" collapsed="false">
      <c r="B48" s="31" t="s">
        <v>667</v>
      </c>
      <c r="G48" s="44" t="n">
        <f aca="false">F47-G47</f>
        <v>259091.8</v>
      </c>
    </row>
    <row r="50" customFormat="false" ht="15" hidden="false" customHeight="false" outlineLevel="0" collapsed="false">
      <c r="B50" s="49" t="s">
        <v>668</v>
      </c>
      <c r="F50" s="50" t="n">
        <f aca="false">IF(Assumptions!$B$82=1,F47,G47)</f>
        <v>466213.913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5" min="3" style="0" width="14"/>
    <col collapsed="false" customWidth="true" hidden="false" outlineLevel="0" max="6" min="6" style="0" width="16"/>
    <col collapsed="false" customWidth="true" hidden="false" outlineLevel="0" max="7" min="7" style="0" width="40"/>
    <col collapsed="false" customWidth="true" hidden="false" outlineLevel="0" max="8" min="8" style="0" width="16"/>
  </cols>
  <sheetData>
    <row r="1" customFormat="false" ht="17.35" hidden="false" customHeight="false" outlineLevel="0" collapsed="false">
      <c r="A1" s="1" t="s">
        <v>669</v>
      </c>
      <c r="B1" s="2"/>
      <c r="C1" s="2"/>
      <c r="D1" s="2"/>
      <c r="E1" s="2"/>
      <c r="F1" s="2"/>
      <c r="G1" s="2"/>
      <c r="H1" s="2"/>
    </row>
    <row r="2" customFormat="false" ht="15" hidden="false" customHeight="false" outlineLevel="0" collapsed="false">
      <c r="A2" s="3" t="s">
        <v>670</v>
      </c>
    </row>
    <row r="4" customFormat="false" ht="30" hidden="false" customHeight="true" outlineLevel="0" collapsed="false">
      <c r="A4" s="4" t="s">
        <v>405</v>
      </c>
      <c r="B4" s="4" t="s">
        <v>258</v>
      </c>
      <c r="C4" s="4" t="s">
        <v>671</v>
      </c>
      <c r="D4" s="4" t="s">
        <v>672</v>
      </c>
      <c r="E4" s="4" t="s">
        <v>673</v>
      </c>
      <c r="F4" s="4" t="s">
        <v>674</v>
      </c>
      <c r="G4" s="4" t="s">
        <v>675</v>
      </c>
      <c r="H4" s="51" t="s">
        <v>676</v>
      </c>
    </row>
    <row r="5" customFormat="false" ht="15" hidden="false" customHeight="false" outlineLevel="0" collapsed="false">
      <c r="A5" s="7" t="s">
        <v>237</v>
      </c>
      <c r="B5" s="7" t="s">
        <v>238</v>
      </c>
      <c r="C5" s="40" t="n">
        <f aca="false">('Menu Costing'!E5*'Sales &amp; P&amp;L'!D5+'Menu Costing'!F5*'Sales &amp; P&amp;L'!D6+'Menu Costing'!G5*'Sales &amp; P&amp;L'!D7+'Menu Costing'!I5*'Sales &amp; P&amp;L'!D9+'Menu Costing'!U5*'Sales &amp; P&amp;L'!D21+'Menu Costing'!V5*'Sales &amp; P&amp;L'!D22+'Menu Costing'!W5*'Sales &amp; P&amp;L'!D23+'Menu Costing'!X5*'Sales &amp; P&amp;L'!D24)*(1+Assumptions!$B$48)</f>
        <v>13.013</v>
      </c>
      <c r="D5" s="40" t="n">
        <f aca="false">('Menu Costing'!E5*'Sales &amp; P&amp;L'!C5+'Menu Costing'!F5*'Sales &amp; P&amp;L'!C6+'Menu Costing'!G5*'Sales &amp; P&amp;L'!C7+'Menu Costing'!I5*'Sales &amp; P&amp;L'!C9+'Menu Costing'!U5*'Sales &amp; P&amp;L'!C21+'Menu Costing'!V5*'Sales &amp; P&amp;L'!C22+'Menu Costing'!W5*'Sales &amp; P&amp;L'!C23+'Menu Costing'!X5*'Sales &amp; P&amp;L'!C24)*(1+Assumptions!$B$48)</f>
        <v>20.02</v>
      </c>
      <c r="E5" s="40" t="n">
        <f aca="false">('Menu Costing'!E5*'Sales &amp; P&amp;L'!E5+'Menu Costing'!F5*'Sales &amp; P&amp;L'!E6+'Menu Costing'!G5*'Sales &amp; P&amp;L'!E7+'Menu Costing'!I5*'Sales &amp; P&amp;L'!E9+'Menu Costing'!U5*'Sales &amp; P&amp;L'!E21+'Menu Costing'!V5*'Sales &amp; P&amp;L'!E22+'Menu Costing'!W5*'Sales &amp; P&amp;L'!E23+'Menu Costing'!X5*'Sales &amp; P&amp;L'!E24)*(1+Assumptions!$B$48)</f>
        <v>28.028</v>
      </c>
      <c r="F5" s="46" t="n">
        <f aca="false">D5/(Assumptions!$B$39*Assumptions!$B$46)</f>
        <v>2.86</v>
      </c>
      <c r="G5" s="3" t="s">
        <v>677</v>
      </c>
      <c r="H5" s="3" t="s">
        <v>678</v>
      </c>
    </row>
    <row r="6" customFormat="false" ht="15" hidden="false" customHeight="false" outlineLevel="0" collapsed="false">
      <c r="A6" s="7" t="s">
        <v>239</v>
      </c>
      <c r="B6" s="7" t="s">
        <v>238</v>
      </c>
      <c r="C6" s="40" t="n">
        <f aca="false">('Menu Costing'!E6*'Sales &amp; P&amp;L'!D5+'Menu Costing'!F6*'Sales &amp; P&amp;L'!D6+'Menu Costing'!H6*'Sales &amp; P&amp;L'!D8+'Menu Costing'!J6*'Sales &amp; P&amp;L'!D10+'Menu Costing'!U6*'Sales &amp; P&amp;L'!D21+'Menu Costing'!V6*'Sales &amp; P&amp;L'!D22+'Menu Costing'!W6*'Sales &amp; P&amp;L'!D23+'Menu Costing'!X6*'Sales &amp; P&amp;L'!D24)*(1+Assumptions!$B$48)</f>
        <v>13.8978125</v>
      </c>
      <c r="D6" s="40" t="n">
        <f aca="false">('Menu Costing'!E6*'Sales &amp; P&amp;L'!C5+'Menu Costing'!F6*'Sales &amp; P&amp;L'!C6+'Menu Costing'!H6*'Sales &amp; P&amp;L'!C8+'Menu Costing'!J6*'Sales &amp; P&amp;L'!C10+'Menu Costing'!U6*'Sales &amp; P&amp;L'!C21+'Menu Costing'!V6*'Sales &amp; P&amp;L'!C22+'Menu Costing'!W6*'Sales &amp; P&amp;L'!C23+'Menu Costing'!X6*'Sales &amp; P&amp;L'!C24)*(1+Assumptions!$B$48)</f>
        <v>21.38125</v>
      </c>
      <c r="E6" s="40" t="n">
        <f aca="false">('Menu Costing'!E6*'Sales &amp; P&amp;L'!E5+'Menu Costing'!F6*'Sales &amp; P&amp;L'!E6+'Menu Costing'!H6*'Sales &amp; P&amp;L'!E8+'Menu Costing'!J6*'Sales &amp; P&amp;L'!E10+'Menu Costing'!U6*'Sales &amp; P&amp;L'!E21+'Menu Costing'!V6*'Sales &amp; P&amp;L'!E22+'Menu Costing'!W6*'Sales &amp; P&amp;L'!E23+'Menu Costing'!X6*'Sales &amp; P&amp;L'!E24)*(1+Assumptions!$B$48)</f>
        <v>29.93375</v>
      </c>
      <c r="F6" s="46" t="n">
        <f aca="false">D6</f>
        <v>21.38125</v>
      </c>
      <c r="G6" s="3" t="s">
        <v>679</v>
      </c>
      <c r="H6" s="3" t="s">
        <v>680</v>
      </c>
    </row>
    <row r="7" customFormat="false" ht="15" hidden="false" customHeight="false" outlineLevel="0" collapsed="false">
      <c r="A7" s="7" t="s">
        <v>427</v>
      </c>
      <c r="B7" s="7" t="s">
        <v>238</v>
      </c>
      <c r="C7" s="40" t="n">
        <f aca="false">('Menu Costing'!L7*'Sales &amp; P&amp;L'!D12)*(1+Assumptions!$B$48)</f>
        <v>1.43</v>
      </c>
      <c r="D7" s="40" t="n">
        <f aca="false">('Menu Costing'!L7*'Sales &amp; P&amp;L'!C12)*(1+Assumptions!$B$48)</f>
        <v>2.2</v>
      </c>
      <c r="E7" s="40" t="n">
        <f aca="false">('Menu Costing'!L7*'Sales &amp; P&amp;L'!E12)*(1+Assumptions!$B$48)</f>
        <v>3.08</v>
      </c>
      <c r="F7" s="46" t="n">
        <f aca="false">D7</f>
        <v>2.2</v>
      </c>
      <c r="G7" s="3" t="s">
        <v>681</v>
      </c>
      <c r="H7" s="3" t="s">
        <v>680</v>
      </c>
    </row>
    <row r="8" customFormat="false" ht="15" hidden="false" customHeight="false" outlineLevel="0" collapsed="false">
      <c r="A8" s="7" t="s">
        <v>428</v>
      </c>
      <c r="B8" s="7" t="s">
        <v>250</v>
      </c>
      <c r="C8" s="40" t="n">
        <f aca="false">('Menu Costing'!E8*'Sales &amp; P&amp;L'!D5+'Menu Costing'!F8*'Sales &amp; P&amp;L'!D6+'Menu Costing'!K8*'Sales &amp; P&amp;L'!D11+'Menu Costing'!U8*'Sales &amp; P&amp;L'!D21+'Menu Costing'!V8*'Sales &amp; P&amp;L'!D22+'Menu Costing'!W8*'Sales &amp; P&amp;L'!D23+'Menu Costing'!X8*'Sales &amp; P&amp;L'!D24)*(1+Assumptions!$B$48)</f>
        <v>61.204</v>
      </c>
      <c r="D8" s="40" t="n">
        <f aca="false">('Menu Costing'!E8*'Sales &amp; P&amp;L'!C5+'Menu Costing'!F8*'Sales &amp; P&amp;L'!C6+'Menu Costing'!K8*'Sales &amp; P&amp;L'!C11+'Menu Costing'!U8*'Sales &amp; P&amp;L'!C21+'Menu Costing'!V8*'Sales &amp; P&amp;L'!C22+'Menu Costing'!W8*'Sales &amp; P&amp;L'!C23+'Menu Costing'!X8*'Sales &amp; P&amp;L'!C24)*(1+Assumptions!$B$48)</f>
        <v>94.16</v>
      </c>
      <c r="E8" s="40" t="n">
        <f aca="false">('Menu Costing'!E8*'Sales &amp; P&amp;L'!E5+'Menu Costing'!F8*'Sales &amp; P&amp;L'!E6+'Menu Costing'!K8*'Sales &amp; P&amp;L'!E11+'Menu Costing'!U8*'Sales &amp; P&amp;L'!E21+'Menu Costing'!V8*'Sales &amp; P&amp;L'!E22+'Menu Costing'!W8*'Sales &amp; P&amp;L'!E23+'Menu Costing'!X8*'Sales &amp; P&amp;L'!E24)*(1+Assumptions!$B$48)</f>
        <v>131.824</v>
      </c>
      <c r="F8" s="46" t="n">
        <f aca="false">D8/Assumptions!$B$43</f>
        <v>7.84666666666667</v>
      </c>
      <c r="G8" s="3" t="s">
        <v>682</v>
      </c>
      <c r="H8" s="3" t="s">
        <v>683</v>
      </c>
    </row>
    <row r="9" customFormat="false" ht="15" hidden="false" customHeight="false" outlineLevel="0" collapsed="false">
      <c r="A9" s="7" t="s">
        <v>243</v>
      </c>
      <c r="B9" s="7" t="s">
        <v>244</v>
      </c>
      <c r="C9" s="40" t="n">
        <f aca="false">('Menu Costing'!E9*'Sales &amp; P&amp;L'!D5+'Menu Costing'!F9*'Sales &amp; P&amp;L'!D6+'Menu Costing'!N9*'Sales &amp; P&amp;L'!D14+'Menu Costing'!U9*'Sales &amp; P&amp;L'!D21+'Menu Costing'!V9*'Sales &amp; P&amp;L'!D22+'Menu Costing'!W9*'Sales &amp; P&amp;L'!D23+'Menu Costing'!X9*'Sales &amp; P&amp;L'!D24)*(1+Assumptions!$B$48)</f>
        <v>22.9515</v>
      </c>
      <c r="D9" s="40" t="n">
        <f aca="false">('Menu Costing'!E9*'Sales &amp; P&amp;L'!C5+'Menu Costing'!F9*'Sales &amp; P&amp;L'!C6+'Menu Costing'!N9*'Sales &amp; P&amp;L'!C14+'Menu Costing'!U9*'Sales &amp; P&amp;L'!C21+'Menu Costing'!V9*'Sales &amp; P&amp;L'!C22+'Menu Costing'!W9*'Sales &amp; P&amp;L'!C23+'Menu Costing'!X9*'Sales &amp; P&amp;L'!C24)*(1+Assumptions!$B$48)</f>
        <v>35.31</v>
      </c>
      <c r="E9" s="40" t="n">
        <f aca="false">('Menu Costing'!E9*'Sales &amp; P&amp;L'!E5+'Menu Costing'!F9*'Sales &amp; P&amp;L'!E6+'Menu Costing'!N9*'Sales &amp; P&amp;L'!E14+'Menu Costing'!U9*'Sales &amp; P&amp;L'!E21+'Menu Costing'!V9*'Sales &amp; P&amp;L'!E22+'Menu Costing'!W9*'Sales &amp; P&amp;L'!E23+'Menu Costing'!X9*'Sales &amp; P&amp;L'!E24)*(1+Assumptions!$B$48)</f>
        <v>49.434</v>
      </c>
      <c r="F9" s="46" t="n">
        <f aca="false">D9</f>
        <v>35.31</v>
      </c>
      <c r="G9" s="3" t="s">
        <v>684</v>
      </c>
      <c r="H9" s="3" t="s">
        <v>685</v>
      </c>
    </row>
    <row r="10" customFormat="false" ht="15" hidden="false" customHeight="false" outlineLevel="0" collapsed="false">
      <c r="A10" s="7" t="s">
        <v>246</v>
      </c>
      <c r="B10" s="7" t="s">
        <v>247</v>
      </c>
      <c r="C10" s="40" t="n">
        <f aca="false">('Menu Costing'!E10*'Sales &amp; P&amp;L'!D5+'Menu Costing'!F10*'Sales &amp; P&amp;L'!D6+'Menu Costing'!M10*'Sales &amp; P&amp;L'!D13+'Menu Costing'!U10*'Sales &amp; P&amp;L'!D21+'Menu Costing'!V10*'Sales &amp; P&amp;L'!D22+'Menu Costing'!W10*'Sales &amp; P&amp;L'!D23+'Menu Costing'!X10*'Sales &amp; P&amp;L'!D24)*(1+Assumptions!$B$48)</f>
        <v>26.312</v>
      </c>
      <c r="D10" s="40" t="n">
        <f aca="false">('Menu Costing'!E10*'Sales &amp; P&amp;L'!C5+'Menu Costing'!F10*'Sales &amp; P&amp;L'!C6+'Menu Costing'!M10*'Sales &amp; P&amp;L'!C13+'Menu Costing'!U10*'Sales &amp; P&amp;L'!C21+'Menu Costing'!V10*'Sales &amp; P&amp;L'!C22+'Menu Costing'!W10*'Sales &amp; P&amp;L'!C23+'Menu Costing'!X10*'Sales &amp; P&amp;L'!C24)*(1+Assumptions!$B$48)</f>
        <v>40.48</v>
      </c>
      <c r="E10" s="40" t="n">
        <f aca="false">('Menu Costing'!E10*'Sales &amp; P&amp;L'!E5+'Menu Costing'!F10*'Sales &amp; P&amp;L'!E6+'Menu Costing'!M10*'Sales &amp; P&amp;L'!E13+'Menu Costing'!U10*'Sales &amp; P&amp;L'!E21+'Menu Costing'!V10*'Sales &amp; P&amp;L'!E22+'Menu Costing'!W10*'Sales &amp; P&amp;L'!E23+'Menu Costing'!X10*'Sales &amp; P&amp;L'!E24)*(1+Assumptions!$B$48)</f>
        <v>56.672</v>
      </c>
      <c r="F10" s="46" t="n">
        <f aca="false">D10</f>
        <v>40.48</v>
      </c>
      <c r="G10" s="3" t="s">
        <v>686</v>
      </c>
      <c r="H10" s="3" t="s">
        <v>136</v>
      </c>
    </row>
    <row r="11" customFormat="false" ht="15" hidden="false" customHeight="false" outlineLevel="0" collapsed="false">
      <c r="A11" s="7" t="s">
        <v>429</v>
      </c>
      <c r="B11" s="7" t="s">
        <v>271</v>
      </c>
      <c r="C11" s="40" t="n">
        <f aca="false">('Menu Costing'!E11*'Sales &amp; P&amp;L'!D5+'Menu Costing'!F11*'Sales &amp; P&amp;L'!D6+'Menu Costing'!O11*'Sales &amp; P&amp;L'!D15+'Menu Costing'!U11*'Sales &amp; P&amp;L'!D21+'Menu Costing'!V11*'Sales &amp; P&amp;L'!D22+'Menu Costing'!W11*'Sales &amp; P&amp;L'!D23+'Menu Costing'!X11*'Sales &amp; P&amp;L'!D24)*(1+Assumptions!$B$48)</f>
        <v>411.268</v>
      </c>
      <c r="D11" s="40" t="n">
        <f aca="false">('Menu Costing'!E11*'Sales &amp; P&amp;L'!C5+'Menu Costing'!F11*'Sales &amp; P&amp;L'!C6+'Menu Costing'!O11*'Sales &amp; P&amp;L'!C15+'Menu Costing'!U11*'Sales &amp; P&amp;L'!C21+'Menu Costing'!V11*'Sales &amp; P&amp;L'!C22+'Menu Costing'!W11*'Sales &amp; P&amp;L'!C23+'Menu Costing'!X11*'Sales &amp; P&amp;L'!C24)*(1+Assumptions!$B$48)</f>
        <v>632.72</v>
      </c>
      <c r="E11" s="40" t="n">
        <f aca="false">('Menu Costing'!E11*'Sales &amp; P&amp;L'!E5+'Menu Costing'!F11*'Sales &amp; P&amp;L'!E6+'Menu Costing'!O11*'Sales &amp; P&amp;L'!E15+'Menu Costing'!U11*'Sales &amp; P&amp;L'!E21+'Menu Costing'!V11*'Sales &amp; P&amp;L'!E22+'Menu Costing'!W11*'Sales &amp; P&amp;L'!E23+'Menu Costing'!X11*'Sales &amp; P&amp;L'!E24)*(1+Assumptions!$B$48)</f>
        <v>885.808</v>
      </c>
      <c r="F11" s="46" t="n">
        <f aca="false">D11/'Sides &amp; Ingredients'!$E$25</f>
        <v>2.4715625</v>
      </c>
      <c r="G11" s="3" t="s">
        <v>687</v>
      </c>
      <c r="H11" s="3" t="s">
        <v>688</v>
      </c>
    </row>
    <row r="12" customFormat="false" ht="15" hidden="false" customHeight="false" outlineLevel="0" collapsed="false">
      <c r="A12" s="7" t="s">
        <v>431</v>
      </c>
      <c r="B12" s="7" t="s">
        <v>271</v>
      </c>
      <c r="C12" s="40" t="n">
        <f aca="false">('Menu Costing'!E12*'Sales &amp; P&amp;L'!D5+'Menu Costing'!F12*'Sales &amp; P&amp;L'!D6+'Menu Costing'!P12*'Sales &amp; P&amp;L'!D16+'Menu Costing'!U12*'Sales &amp; P&amp;L'!D21+'Menu Costing'!V12*'Sales &amp; P&amp;L'!D22+'Menu Costing'!W12*'Sales &amp; P&amp;L'!D23+'Menu Costing'!X12*'Sales &amp; P&amp;L'!D24)*(1+Assumptions!$B$48)</f>
        <v>231.66</v>
      </c>
      <c r="D12" s="40" t="n">
        <f aca="false">('Menu Costing'!E12*'Sales &amp; P&amp;L'!C5+'Menu Costing'!F12*'Sales &amp; P&amp;L'!C6+'Menu Costing'!P12*'Sales &amp; P&amp;L'!C16+'Menu Costing'!U12*'Sales &amp; P&amp;L'!C21+'Menu Costing'!V12*'Sales &amp; P&amp;L'!C22+'Menu Costing'!W12*'Sales &amp; P&amp;L'!C23+'Menu Costing'!X12*'Sales &amp; P&amp;L'!C24)*(1+Assumptions!$B$48)</f>
        <v>356.4</v>
      </c>
      <c r="E12" s="40" t="n">
        <f aca="false">('Menu Costing'!E12*'Sales &amp; P&amp;L'!E5+'Menu Costing'!F12*'Sales &amp; P&amp;L'!E6+'Menu Costing'!P12*'Sales &amp; P&amp;L'!E16+'Menu Costing'!U12*'Sales &amp; P&amp;L'!E21+'Menu Costing'!V12*'Sales &amp; P&amp;L'!E22+'Menu Costing'!W12*'Sales &amp; P&amp;L'!E23+'Menu Costing'!X12*'Sales &amp; P&amp;L'!E24)*(1+Assumptions!$B$48)</f>
        <v>498.96</v>
      </c>
      <c r="F12" s="46" t="n">
        <f aca="false">D12/'Sides &amp; Ingredients'!$E$38</f>
        <v>1.04823529411765</v>
      </c>
      <c r="G12" s="3" t="s">
        <v>689</v>
      </c>
      <c r="H12" s="3" t="s">
        <v>690</v>
      </c>
    </row>
    <row r="13" customFormat="false" ht="15" hidden="false" customHeight="false" outlineLevel="0" collapsed="false">
      <c r="A13" s="7" t="s">
        <v>432</v>
      </c>
      <c r="B13" s="7" t="s">
        <v>271</v>
      </c>
      <c r="C13" s="40" t="n">
        <f aca="false">('Menu Costing'!Q13*'Sales &amp; P&amp;L'!D17+'Menu Costing'!U13*'Sales &amp; P&amp;L'!D21+'Menu Costing'!V13*'Sales &amp; P&amp;L'!D22+'Menu Costing'!W13*'Sales &amp; P&amp;L'!D23+'Menu Costing'!X13*'Sales &amp; P&amp;L'!D24)*(1+Assumptions!$B$48)</f>
        <v>108.68</v>
      </c>
      <c r="D13" s="40" t="n">
        <f aca="false">('Menu Costing'!Q13*'Sales &amp; P&amp;L'!C17+'Menu Costing'!U13*'Sales &amp; P&amp;L'!C21+'Menu Costing'!V13*'Sales &amp; P&amp;L'!C22+'Menu Costing'!W13*'Sales &amp; P&amp;L'!C23+'Menu Costing'!X13*'Sales &amp; P&amp;L'!C24)*(1+Assumptions!$B$48)</f>
        <v>167.2</v>
      </c>
      <c r="E13" s="40" t="n">
        <f aca="false">('Menu Costing'!Q13*'Sales &amp; P&amp;L'!E17+'Menu Costing'!U13*'Sales &amp; P&amp;L'!E21+'Menu Costing'!V13*'Sales &amp; P&amp;L'!E22+'Menu Costing'!W13*'Sales &amp; P&amp;L'!E23+'Menu Costing'!X13*'Sales &amp; P&amp;L'!E24)*(1+Assumptions!$B$48)</f>
        <v>234.08</v>
      </c>
      <c r="F13" s="46" t="n">
        <f aca="false">D13/'Sides &amp; Ingredients'!$E$50</f>
        <v>1.045</v>
      </c>
      <c r="G13" s="3" t="s">
        <v>691</v>
      </c>
      <c r="H13" s="3" t="s">
        <v>690</v>
      </c>
    </row>
    <row r="14" customFormat="false" ht="15" hidden="false" customHeight="false" outlineLevel="0" collapsed="false">
      <c r="A14" s="7" t="s">
        <v>433</v>
      </c>
      <c r="B14" s="7" t="s">
        <v>434</v>
      </c>
      <c r="C14" s="40" t="n">
        <f aca="false">('Menu Costing'!R14*'Sales &amp; P&amp;L'!D18)*(1+Assumptions!$B$48)</f>
        <v>8.58</v>
      </c>
      <c r="D14" s="40" t="n">
        <f aca="false">('Menu Costing'!R14*'Sales &amp; P&amp;L'!C18)*(1+Assumptions!$B$48)</f>
        <v>13.2</v>
      </c>
      <c r="E14" s="40" t="n">
        <f aca="false">('Menu Costing'!R14*'Sales &amp; P&amp;L'!E18)*(1+Assumptions!$B$48)</f>
        <v>18.48</v>
      </c>
      <c r="F14" s="46" t="n">
        <f aca="false">D14/'Sides &amp; Ingredients'!$E$61</f>
        <v>0.55</v>
      </c>
      <c r="G14" s="3" t="s">
        <v>692</v>
      </c>
      <c r="H14" s="3" t="s">
        <v>693</v>
      </c>
    </row>
    <row r="15" customFormat="false" ht="15" hidden="false" customHeight="false" outlineLevel="0" collapsed="false">
      <c r="A15" s="7" t="s">
        <v>435</v>
      </c>
      <c r="B15" s="7" t="s">
        <v>368</v>
      </c>
      <c r="C15" s="40" t="n">
        <f aca="false">('Menu Costing'!E15*'Sales &amp; P&amp;L'!D5+'Menu Costing'!F15*'Sales &amp; P&amp;L'!D6+'Menu Costing'!U15*'Sales &amp; P&amp;L'!D21+'Menu Costing'!V15*'Sales &amp; P&amp;L'!D22+'Menu Costing'!W15*'Sales &amp; P&amp;L'!D23+'Menu Costing'!X15*'Sales &amp; P&amp;L'!D24)*(1+Assumptions!$B$48)</f>
        <v>91.52</v>
      </c>
      <c r="D15" s="40" t="n">
        <f aca="false">('Menu Costing'!E15*'Sales &amp; P&amp;L'!C5+'Menu Costing'!F15*'Sales &amp; P&amp;L'!C6+'Menu Costing'!U15*'Sales &amp; P&amp;L'!C21+'Menu Costing'!V15*'Sales &amp; P&amp;L'!C22+'Menu Costing'!W15*'Sales &amp; P&amp;L'!C23+'Menu Costing'!X15*'Sales &amp; P&amp;L'!C24)*(1+Assumptions!$B$48)</f>
        <v>140.8</v>
      </c>
      <c r="E15" s="40" t="n">
        <f aca="false">('Menu Costing'!E15*'Sales &amp; P&amp;L'!E5+'Menu Costing'!F15*'Sales &amp; P&amp;L'!E6+'Menu Costing'!U15*'Sales &amp; P&amp;L'!E21+'Menu Costing'!V15*'Sales &amp; P&amp;L'!E22+'Menu Costing'!W15*'Sales &amp; P&amp;L'!E23+'Menu Costing'!X15*'Sales &amp; P&amp;L'!E24)*(1+Assumptions!$B$48)</f>
        <v>197.12</v>
      </c>
      <c r="F15" s="46" t="n">
        <f aca="false">D15/20</f>
        <v>7.04</v>
      </c>
      <c r="G15" s="3" t="s">
        <v>694</v>
      </c>
      <c r="H15" s="3" t="s">
        <v>695</v>
      </c>
    </row>
    <row r="16" customFormat="false" ht="15" hidden="false" customHeight="false" outlineLevel="0" collapsed="false">
      <c r="A16" s="7" t="s">
        <v>436</v>
      </c>
      <c r="B16" s="7" t="s">
        <v>271</v>
      </c>
      <c r="C16" s="40" t="n">
        <f aca="false">('Menu Costing'!E16*'Sales &amp; P&amp;L'!D5+'Menu Costing'!F16*'Sales &amp; P&amp;L'!D6+'Menu Costing'!U16*'Sales &amp; P&amp;L'!D21+'Menu Costing'!V16*'Sales &amp; P&amp;L'!D22+'Menu Costing'!W16*'Sales &amp; P&amp;L'!D23+'Menu Costing'!X16*'Sales &amp; P&amp;L'!D24)*(1+Assumptions!$B$48)</f>
        <v>30.316</v>
      </c>
      <c r="D16" s="40" t="n">
        <f aca="false">('Menu Costing'!E16*'Sales &amp; P&amp;L'!C5+'Menu Costing'!F16*'Sales &amp; P&amp;L'!C6+'Menu Costing'!U16*'Sales &amp; P&amp;L'!C21+'Menu Costing'!V16*'Sales &amp; P&amp;L'!C22+'Menu Costing'!W16*'Sales &amp; P&amp;L'!C23+'Menu Costing'!X16*'Sales &amp; P&amp;L'!C24)*(1+Assumptions!$B$48)</f>
        <v>46.64</v>
      </c>
      <c r="E16" s="40" t="n">
        <f aca="false">('Menu Costing'!E16*'Sales &amp; P&amp;L'!E5+'Menu Costing'!F16*'Sales &amp; P&amp;L'!E6+'Menu Costing'!U16*'Sales &amp; P&amp;L'!E21+'Menu Costing'!V16*'Sales &amp; P&amp;L'!E22+'Menu Costing'!W16*'Sales &amp; P&amp;L'!E23+'Menu Costing'!X16*'Sales &amp; P&amp;L'!E24)*(1+Assumptions!$B$48)</f>
        <v>65.296</v>
      </c>
      <c r="F16" s="46" t="n">
        <f aca="false">D16</f>
        <v>46.64</v>
      </c>
      <c r="G16" s="3" t="s">
        <v>696</v>
      </c>
      <c r="H16" s="3" t="s">
        <v>271</v>
      </c>
    </row>
    <row r="17" customFormat="false" ht="15" hidden="false" customHeight="false" outlineLevel="0" collapsed="false">
      <c r="A17" s="7" t="s">
        <v>437</v>
      </c>
      <c r="B17" s="7" t="s">
        <v>271</v>
      </c>
      <c r="C17" s="40" t="n">
        <f aca="false">('Menu Costing'!E17*'Sales &amp; P&amp;L'!D5+'Menu Costing'!F17*'Sales &amp; P&amp;L'!D6+'Menu Costing'!G17*'Sales &amp; P&amp;L'!D7+'Menu Costing'!U17*'Sales &amp; P&amp;L'!D21+'Menu Costing'!V17*'Sales &amp; P&amp;L'!D22+'Menu Costing'!W17*'Sales &amp; P&amp;L'!D23+'Menu Costing'!X17*'Sales &amp; P&amp;L'!D24)*(1+Assumptions!$B$48)</f>
        <v>34.749</v>
      </c>
      <c r="D17" s="40" t="n">
        <f aca="false">('Menu Costing'!E17*'Sales &amp; P&amp;L'!C5+'Menu Costing'!F17*'Sales &amp; P&amp;L'!C6+'Menu Costing'!G17*'Sales &amp; P&amp;L'!C7+'Menu Costing'!U17*'Sales &amp; P&amp;L'!C21+'Menu Costing'!V17*'Sales &amp; P&amp;L'!C22+'Menu Costing'!W17*'Sales &amp; P&amp;L'!C23+'Menu Costing'!X17*'Sales &amp; P&amp;L'!C24)*(1+Assumptions!$B$48)</f>
        <v>53.46</v>
      </c>
      <c r="E17" s="40" t="n">
        <f aca="false">('Menu Costing'!E17*'Sales &amp; P&amp;L'!E5+'Menu Costing'!F17*'Sales &amp; P&amp;L'!E6+'Menu Costing'!G17*'Sales &amp; P&amp;L'!E7+'Menu Costing'!U17*'Sales &amp; P&amp;L'!E21+'Menu Costing'!V17*'Sales &amp; P&amp;L'!E22+'Menu Costing'!W17*'Sales &amp; P&amp;L'!E23+'Menu Costing'!X17*'Sales &amp; P&amp;L'!E24)*(1+Assumptions!$B$48)</f>
        <v>74.844</v>
      </c>
      <c r="F17" s="46" t="n">
        <f aca="false">D17/'Sides &amp; Ingredients'!$E$71</f>
        <v>0.66825</v>
      </c>
      <c r="G17" s="3" t="s">
        <v>697</v>
      </c>
      <c r="H17" s="3" t="s">
        <v>690</v>
      </c>
    </row>
    <row r="18" customFormat="false" ht="15" hidden="false" customHeight="false" outlineLevel="0" collapsed="false">
      <c r="A18" s="7" t="s">
        <v>438</v>
      </c>
      <c r="B18" s="7" t="s">
        <v>271</v>
      </c>
      <c r="C18" s="40" t="n">
        <f aca="false">('Menu Costing'!E18*'Sales &amp; P&amp;L'!D5+'Menu Costing'!F18*'Sales &amp; P&amp;L'!D6+'Menu Costing'!I18*'Sales &amp; P&amp;L'!D9+'Menu Costing'!J18*'Sales &amp; P&amp;L'!D10+'Menu Costing'!K18*'Sales &amp; P&amp;L'!D11+'Menu Costing'!U18*'Sales &amp; P&amp;L'!D21+'Menu Costing'!V18*'Sales &amp; P&amp;L'!D22+'Menu Costing'!W18*'Sales &amp; P&amp;L'!D23+'Menu Costing'!X18*'Sales &amp; P&amp;L'!D24)*(1+Assumptions!$B$48)</f>
        <v>119.262</v>
      </c>
      <c r="D18" s="40" t="n">
        <f aca="false">('Menu Costing'!E18*'Sales &amp; P&amp;L'!C5+'Menu Costing'!F18*'Sales &amp; P&amp;L'!C6+'Menu Costing'!I18*'Sales &amp; P&amp;L'!C9+'Menu Costing'!J18*'Sales &amp; P&amp;L'!C10+'Menu Costing'!K18*'Sales &amp; P&amp;L'!C11+'Menu Costing'!U18*'Sales &amp; P&amp;L'!C21+'Menu Costing'!V18*'Sales &amp; P&amp;L'!C22+'Menu Costing'!W18*'Sales &amp; P&amp;L'!C23+'Menu Costing'!X18*'Sales &amp; P&amp;L'!C24)*(1+Assumptions!$B$48)</f>
        <v>183.48</v>
      </c>
      <c r="E18" s="40" t="n">
        <f aca="false">('Menu Costing'!E18*'Sales &amp; P&amp;L'!E5+'Menu Costing'!F18*'Sales &amp; P&amp;L'!E6+'Menu Costing'!I18*'Sales &amp; P&amp;L'!E9+'Menu Costing'!J18*'Sales &amp; P&amp;L'!E10+'Menu Costing'!K18*'Sales &amp; P&amp;L'!E11+'Menu Costing'!U18*'Sales &amp; P&amp;L'!E21+'Menu Costing'!V18*'Sales &amp; P&amp;L'!E22+'Menu Costing'!W18*'Sales &amp; P&amp;L'!E23+'Menu Costing'!X18*'Sales &amp; P&amp;L'!E24)*(1+Assumptions!$B$48)</f>
        <v>256.872</v>
      </c>
      <c r="F18" s="46" t="n">
        <f aca="false">D18/128</f>
        <v>1.4334375</v>
      </c>
      <c r="G18" s="3" t="s">
        <v>698</v>
      </c>
      <c r="H18" s="3" t="s">
        <v>292</v>
      </c>
    </row>
    <row r="19" customFormat="false" ht="15" hidden="false" customHeight="false" outlineLevel="0" collapsed="false">
      <c r="A19" s="7" t="s">
        <v>439</v>
      </c>
      <c r="B19" s="7" t="s">
        <v>244</v>
      </c>
      <c r="C19" s="40" t="n">
        <f aca="false">('Menu Costing'!G19*'Sales &amp; P&amp;L'!D7+'Menu Costing'!H19*'Sales &amp; P&amp;L'!D8)*(1+Assumptions!$B$48)</f>
        <v>33.605</v>
      </c>
      <c r="D19" s="40" t="n">
        <f aca="false">('Menu Costing'!G19*'Sales &amp; P&amp;L'!C7+'Menu Costing'!H19*'Sales &amp; P&amp;L'!C8)*(1+Assumptions!$B$48)</f>
        <v>51.7</v>
      </c>
      <c r="E19" s="40" t="n">
        <f aca="false">('Menu Costing'!G19*'Sales &amp; P&amp;L'!E7+'Menu Costing'!H19*'Sales &amp; P&amp;L'!E8)*(1+Assumptions!$B$48)</f>
        <v>72.38</v>
      </c>
      <c r="F19" s="46" t="n">
        <f aca="false">D19</f>
        <v>51.7</v>
      </c>
      <c r="G19" s="3" t="s">
        <v>699</v>
      </c>
      <c r="H19" s="3" t="s">
        <v>700</v>
      </c>
    </row>
    <row r="20" customFormat="false" ht="15" hidden="false" customHeight="false" outlineLevel="0" collapsed="false">
      <c r="A20" s="7" t="s">
        <v>440</v>
      </c>
      <c r="B20" s="7" t="s">
        <v>271</v>
      </c>
      <c r="C20" s="40" t="n">
        <f aca="false">('Menu Costing'!G20*'Sales &amp; P&amp;L'!D7+'Menu Costing'!H20*'Sales &amp; P&amp;L'!D8)*(1+Assumptions!$B$48)</f>
        <v>50.4075</v>
      </c>
      <c r="D20" s="40" t="n">
        <f aca="false">('Menu Costing'!G20*'Sales &amp; P&amp;L'!C7+'Menu Costing'!H20*'Sales &amp; P&amp;L'!C8)*(1+Assumptions!$B$48)</f>
        <v>77.55</v>
      </c>
      <c r="E20" s="40" t="n">
        <f aca="false">('Menu Costing'!G20*'Sales &amp; P&amp;L'!E7+'Menu Costing'!H20*'Sales &amp; P&amp;L'!E8)*(1+Assumptions!$B$48)</f>
        <v>108.57</v>
      </c>
      <c r="F20" s="46" t="n">
        <f aca="false">D20/16</f>
        <v>4.846875</v>
      </c>
      <c r="G20" s="3"/>
      <c r="H20" s="3" t="s">
        <v>128</v>
      </c>
    </row>
    <row r="21" customFormat="false" ht="15" hidden="false" customHeight="false" outlineLevel="0" collapsed="false">
      <c r="A21" s="7" t="s">
        <v>441</v>
      </c>
      <c r="B21" s="7" t="s">
        <v>271</v>
      </c>
      <c r="C21" s="40" t="n">
        <f aca="false">('Menu Costing'!H21*'Sales &amp; P&amp;L'!D8)*(1+Assumptions!$B$48)</f>
        <v>35.75</v>
      </c>
      <c r="D21" s="40" t="n">
        <f aca="false">('Menu Costing'!H21*'Sales &amp; P&amp;L'!C8)*(1+Assumptions!$B$48)</f>
        <v>55</v>
      </c>
      <c r="E21" s="40" t="n">
        <f aca="false">('Menu Costing'!H21*'Sales &amp; P&amp;L'!E8)*(1+Assumptions!$B$48)</f>
        <v>77</v>
      </c>
      <c r="F21" s="46" t="n">
        <f aca="false">D21/16</f>
        <v>3.4375</v>
      </c>
      <c r="G21" s="3"/>
      <c r="H21" s="3" t="s">
        <v>128</v>
      </c>
    </row>
    <row r="22" customFormat="false" ht="15" hidden="false" customHeight="false" outlineLevel="0" collapsed="false">
      <c r="A22" s="7" t="s">
        <v>442</v>
      </c>
      <c r="B22" s="7" t="s">
        <v>271</v>
      </c>
      <c r="C22" s="40" t="n">
        <f aca="false">('Menu Costing'!H22*'Sales &amp; P&amp;L'!D8)*(1+Assumptions!$B$48)</f>
        <v>17.875</v>
      </c>
      <c r="D22" s="40" t="n">
        <f aca="false">('Menu Costing'!H22*'Sales &amp; P&amp;L'!C8)*(1+Assumptions!$B$48)</f>
        <v>27.5</v>
      </c>
      <c r="E22" s="40" t="n">
        <f aca="false">('Menu Costing'!H22*'Sales &amp; P&amp;L'!E8)*(1+Assumptions!$B$48)</f>
        <v>38.5</v>
      </c>
      <c r="F22" s="46" t="n">
        <f aca="false">D22/16</f>
        <v>1.71875</v>
      </c>
      <c r="G22" s="3"/>
      <c r="H22" s="3" t="s">
        <v>128</v>
      </c>
    </row>
    <row r="23" customFormat="false" ht="15" hidden="false" customHeight="false" outlineLevel="0" collapsed="false">
      <c r="A23" s="7" t="s">
        <v>443</v>
      </c>
      <c r="B23" s="7" t="s">
        <v>271</v>
      </c>
      <c r="C23" s="40" t="n">
        <f aca="false">('Menu Costing'!G23*'Sales &amp; P&amp;L'!D7+'Menu Costing'!H23*'Sales &amp; P&amp;L'!D8)*(1+Assumptions!$B$48)</f>
        <v>21.27125</v>
      </c>
      <c r="D23" s="40" t="n">
        <f aca="false">('Menu Costing'!G23*'Sales &amp; P&amp;L'!C7+'Menu Costing'!H23*'Sales &amp; P&amp;L'!C8)*(1+Assumptions!$B$48)</f>
        <v>32.725</v>
      </c>
      <c r="E23" s="40" t="n">
        <f aca="false">('Menu Costing'!G23*'Sales &amp; P&amp;L'!E7+'Menu Costing'!H23*'Sales &amp; P&amp;L'!E8)*(1+Assumptions!$B$48)</f>
        <v>45.815</v>
      </c>
      <c r="F23" s="46" t="n">
        <f aca="false">D23/'Sides &amp; Ingredients'!$E$81</f>
        <v>0.511328125</v>
      </c>
      <c r="G23" s="3"/>
      <c r="H23" s="3" t="s">
        <v>690</v>
      </c>
    </row>
    <row r="24" customFormat="false" ht="15" hidden="false" customHeight="false" outlineLevel="0" collapsed="false">
      <c r="A24" s="7" t="s">
        <v>444</v>
      </c>
      <c r="B24" s="7" t="s">
        <v>271</v>
      </c>
      <c r="C24" s="40" t="n">
        <f aca="false">('Menu Costing'!H24*'Sales &amp; P&amp;L'!D8)*(1+Assumptions!$B$48)</f>
        <v>8.9375</v>
      </c>
      <c r="D24" s="40" t="n">
        <f aca="false">('Menu Costing'!H24*'Sales &amp; P&amp;L'!C8)*(1+Assumptions!$B$48)</f>
        <v>13.75</v>
      </c>
      <c r="E24" s="40" t="n">
        <f aca="false">('Menu Costing'!H24*'Sales &amp; P&amp;L'!E8)*(1+Assumptions!$B$48)</f>
        <v>19.25</v>
      </c>
      <c r="F24" s="46" t="n">
        <f aca="false">D24/'Sides &amp; Ingredients'!$E$90</f>
        <v>0.143229166666667</v>
      </c>
      <c r="G24" s="3"/>
      <c r="H24" s="3" t="s">
        <v>690</v>
      </c>
    </row>
    <row r="25" customFormat="false" ht="15" hidden="false" customHeight="false" outlineLevel="0" collapsed="false">
      <c r="A25" s="7" t="s">
        <v>298</v>
      </c>
      <c r="B25" s="7" t="s">
        <v>271</v>
      </c>
      <c r="C25" s="40" t="n">
        <f aca="false">('Menu Costing'!G25*'Sales &amp; P&amp;L'!D7+'Menu Costing'!H25*'Sales &amp; P&amp;L'!D8)*(1+Assumptions!$B$48)</f>
        <v>16.8025</v>
      </c>
      <c r="D25" s="40" t="n">
        <f aca="false">('Menu Costing'!G25*'Sales &amp; P&amp;L'!C7+'Menu Costing'!H25*'Sales &amp; P&amp;L'!C8)*(1+Assumptions!$B$48)</f>
        <v>25.85</v>
      </c>
      <c r="E25" s="40" t="n">
        <f aca="false">('Menu Costing'!G25*'Sales &amp; P&amp;L'!E7+'Menu Costing'!H25*'Sales &amp; P&amp;L'!E8)*(1+Assumptions!$B$48)</f>
        <v>36.19</v>
      </c>
      <c r="F25" s="46" t="n">
        <f aca="false">D25/16</f>
        <v>1.615625</v>
      </c>
      <c r="G25" s="3"/>
      <c r="H25" s="3" t="s">
        <v>128</v>
      </c>
    </row>
    <row r="26" customFormat="false" ht="15" hidden="false" customHeight="false" outlineLevel="0" collapsed="false">
      <c r="A26" s="7" t="s">
        <v>420</v>
      </c>
      <c r="B26" s="7" t="s">
        <v>244</v>
      </c>
      <c r="C26" s="40" t="n">
        <f aca="false">('Menu Costing'!S26*'Sales &amp; P&amp;L'!D19)*(1+Assumptions!$B$48)</f>
        <v>28.6</v>
      </c>
      <c r="D26" s="40" t="n">
        <f aca="false">('Menu Costing'!S26*'Sales &amp; P&amp;L'!C19)*(1+Assumptions!$B$48)</f>
        <v>44</v>
      </c>
      <c r="E26" s="40" t="n">
        <f aca="false">('Menu Costing'!S26*'Sales &amp; P&amp;L'!E19)*(1+Assumptions!$B$48)</f>
        <v>61.6</v>
      </c>
      <c r="F26" s="46" t="n">
        <f aca="false">D26</f>
        <v>44</v>
      </c>
      <c r="G26" s="3" t="s">
        <v>701</v>
      </c>
      <c r="H26" s="3" t="s">
        <v>702</v>
      </c>
    </row>
    <row r="27" customFormat="false" ht="15" hidden="false" customHeight="false" outlineLevel="0" collapsed="false">
      <c r="A27" s="7" t="s">
        <v>445</v>
      </c>
      <c r="B27" s="7" t="s">
        <v>446</v>
      </c>
      <c r="C27" s="40" t="n">
        <f aca="false">('Menu Costing'!T27*'Sales &amp; P&amp;L'!D20)*(1+Assumptions!$B$48)</f>
        <v>8.58</v>
      </c>
      <c r="D27" s="40" t="n">
        <f aca="false">('Menu Costing'!T27*'Sales &amp; P&amp;L'!C20)*(1+Assumptions!$B$48)</f>
        <v>13.2</v>
      </c>
      <c r="E27" s="40" t="n">
        <f aca="false">('Menu Costing'!T27*'Sales &amp; P&amp;L'!E20)*(1+Assumptions!$B$48)</f>
        <v>18.48</v>
      </c>
      <c r="F27" s="46" t="n">
        <f aca="false">D27/'Sides &amp; Ingredients'!$E$100</f>
        <v>0.33</v>
      </c>
      <c r="G27" s="3" t="s">
        <v>703</v>
      </c>
      <c r="H27" s="3" t="s">
        <v>704</v>
      </c>
    </row>
    <row r="28" customFormat="false" ht="15" hidden="false" customHeight="false" outlineLevel="0" collapsed="false">
      <c r="A28" s="7" t="s">
        <v>447</v>
      </c>
      <c r="B28" s="7" t="s">
        <v>271</v>
      </c>
      <c r="C28" s="40" t="n">
        <f aca="false">('Menu Costing'!T28*'Sales &amp; P&amp;L'!D20)*(1+Assumptions!$B$48)</f>
        <v>4.29</v>
      </c>
      <c r="D28" s="40" t="n">
        <f aca="false">('Menu Costing'!T28*'Sales &amp; P&amp;L'!C20)*(1+Assumptions!$B$48)</f>
        <v>6.6</v>
      </c>
      <c r="E28" s="40" t="n">
        <f aca="false">('Menu Costing'!T28*'Sales &amp; P&amp;L'!E20)*(1+Assumptions!$B$48)</f>
        <v>9.24</v>
      </c>
      <c r="F28" s="46" t="n">
        <f aca="false">D28/'Sides &amp; Ingredients'!$E$110</f>
        <v>0.20625</v>
      </c>
      <c r="G28" s="3" t="s">
        <v>705</v>
      </c>
      <c r="H28" s="3" t="s">
        <v>706</v>
      </c>
    </row>
    <row r="30" customFormat="false" ht="15" hidden="false" customHeight="false" outlineLevel="0" collapsed="false">
      <c r="A30" s="5" t="s">
        <v>707</v>
      </c>
      <c r="B30" s="6"/>
      <c r="C30" s="6"/>
      <c r="D30" s="6"/>
      <c r="E30" s="6"/>
      <c r="F30" s="6"/>
      <c r="G30" s="6"/>
      <c r="H30" s="6"/>
    </row>
    <row r="31" customFormat="false" ht="15" hidden="false" customHeight="false" outlineLevel="0" collapsed="false">
      <c r="A31" s="31" t="s">
        <v>708</v>
      </c>
      <c r="B31" s="7" t="s">
        <v>709</v>
      </c>
    </row>
    <row r="32" customFormat="false" ht="15" hidden="false" customHeight="false" outlineLevel="0" collapsed="false">
      <c r="A32" s="31" t="s">
        <v>710</v>
      </c>
      <c r="B32" s="7" t="s">
        <v>711</v>
      </c>
    </row>
    <row r="33" customFormat="false" ht="15" hidden="false" customHeight="false" outlineLevel="0" collapsed="false">
      <c r="A33" s="31" t="s">
        <v>712</v>
      </c>
      <c r="B33" s="7" t="s">
        <v>713</v>
      </c>
    </row>
    <row r="34" customFormat="false" ht="15" hidden="false" customHeight="false" outlineLevel="0" collapsed="false">
      <c r="A34" s="31" t="s">
        <v>714</v>
      </c>
      <c r="B34" s="7" t="s">
        <v>715</v>
      </c>
    </row>
    <row r="35" customFormat="false" ht="15" hidden="false" customHeight="false" outlineLevel="0" collapsed="false">
      <c r="A35" s="31" t="s">
        <v>716</v>
      </c>
      <c r="B35" s="7" t="s">
        <v>717</v>
      </c>
    </row>
    <row r="36" customFormat="false" ht="15" hidden="false" customHeight="false" outlineLevel="0" collapsed="false">
      <c r="A36" s="31" t="s">
        <v>716</v>
      </c>
      <c r="B36" s="7" t="s">
        <v>718</v>
      </c>
    </row>
    <row r="37" customFormat="false" ht="15" hidden="false" customHeight="false" outlineLevel="0" collapsed="false">
      <c r="A37" s="31" t="s">
        <v>719</v>
      </c>
      <c r="B37" s="7" t="s">
        <v>720</v>
      </c>
    </row>
    <row r="38" customFormat="false" ht="15" hidden="false" customHeight="false" outlineLevel="0" collapsed="false">
      <c r="A38" s="31" t="s">
        <v>721</v>
      </c>
      <c r="B38" s="7" t="s">
        <v>722</v>
      </c>
    </row>
    <row r="39" customFormat="false" ht="15" hidden="false" customHeight="false" outlineLevel="0" collapsed="false">
      <c r="A39" s="31" t="s">
        <v>723</v>
      </c>
      <c r="B39" s="7" t="s">
        <v>724</v>
      </c>
    </row>
    <row r="40" customFormat="false" ht="15" hidden="false" customHeight="false" outlineLevel="0" collapsed="false">
      <c r="A40" s="31" t="s">
        <v>714</v>
      </c>
      <c r="B40" s="7" t="s">
        <v>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6" min="3" style="0" width="14"/>
    <col collapsed="false" customWidth="true" hidden="false" outlineLevel="0" max="8" min="7" style="0" width="16"/>
    <col collapsed="false" customWidth="true" hidden="false" outlineLevel="0" max="9" min="9" style="0" width="14"/>
    <col collapsed="false" customWidth="true" hidden="false" outlineLevel="0" max="10" min="10" style="0" width="26"/>
  </cols>
  <sheetData>
    <row r="1" customFormat="false" ht="17.35" hidden="false" customHeight="false" outlineLevel="0" collapsed="false">
      <c r="A1" s="1" t="s">
        <v>726</v>
      </c>
      <c r="B1" s="2"/>
      <c r="C1" s="2"/>
      <c r="D1" s="2"/>
      <c r="E1" s="2"/>
      <c r="F1" s="2"/>
      <c r="G1" s="2"/>
      <c r="H1" s="2"/>
      <c r="I1" s="2"/>
    </row>
    <row r="2" customFormat="false" ht="15" hidden="false" customHeight="false" outlineLevel="0" collapsed="false">
      <c r="A2" s="3" t="s">
        <v>727</v>
      </c>
    </row>
    <row r="4" customFormat="false" ht="43.5" hidden="false" customHeight="true" outlineLevel="0" collapsed="false">
      <c r="A4" s="4" t="s">
        <v>426</v>
      </c>
      <c r="B4" s="4" t="s">
        <v>258</v>
      </c>
      <c r="C4" s="4" t="s">
        <v>728</v>
      </c>
      <c r="D4" s="4" t="s">
        <v>729</v>
      </c>
      <c r="E4" s="4" t="s">
        <v>730</v>
      </c>
      <c r="F4" s="4" t="s">
        <v>731</v>
      </c>
      <c r="G4" s="4" t="s">
        <v>732</v>
      </c>
      <c r="H4" s="4" t="s">
        <v>733</v>
      </c>
      <c r="I4" s="4" t="s">
        <v>734</v>
      </c>
    </row>
    <row r="5" customFormat="false" ht="15" hidden="false" customHeight="false" outlineLevel="0" collapsed="false">
      <c r="A5" s="7" t="s">
        <v>237</v>
      </c>
      <c r="B5" s="7" t="s">
        <v>238</v>
      </c>
      <c r="C5" s="40" t="n">
        <f aca="false">'Prep List'!$D$5*Assumptions!$B$5</f>
        <v>100.1</v>
      </c>
      <c r="D5" s="40" t="n">
        <f aca="false">C5</f>
        <v>100.1</v>
      </c>
      <c r="E5" s="3" t="s">
        <v>735</v>
      </c>
      <c r="F5" s="38" t="n">
        <f aca="false">'Meat Cost &amp; Transfer'!$J$5</f>
        <v>17.3302459118712</v>
      </c>
      <c r="G5" s="41" t="n">
        <f aca="false">C5*F5</f>
        <v>1734.75761577831</v>
      </c>
      <c r="H5" s="40" t="n">
        <f aca="false">C5/Assumptions!$B$39</f>
        <v>200.2</v>
      </c>
      <c r="I5" s="40" t="n">
        <f aca="false">H5/60</f>
        <v>3.33666666666667</v>
      </c>
      <c r="J5" s="3" t="s">
        <v>736</v>
      </c>
    </row>
    <row r="6" customFormat="false" ht="15" hidden="false" customHeight="false" outlineLevel="0" collapsed="false">
      <c r="A6" s="7" t="s">
        <v>239</v>
      </c>
      <c r="B6" s="7" t="s">
        <v>238</v>
      </c>
      <c r="C6" s="40" t="n">
        <f aca="false">'Prep List'!$D$6*Assumptions!$B$5</f>
        <v>106.90625</v>
      </c>
      <c r="D6" s="40" t="n">
        <f aca="false">C6</f>
        <v>106.90625</v>
      </c>
      <c r="E6" s="3" t="s">
        <v>735</v>
      </c>
      <c r="F6" s="38" t="n">
        <f aca="false">'Meat Cost &amp; Transfer'!$J$6</f>
        <v>7.45931446533743</v>
      </c>
      <c r="G6" s="41" t="n">
        <f aca="false">C6*F6</f>
        <v>797.44733705998</v>
      </c>
      <c r="H6" s="40" t="n">
        <f aca="false">C6/Assumptions!$B$40</f>
        <v>194.375</v>
      </c>
      <c r="I6" s="40" t="n">
        <f aca="false">H6/70</f>
        <v>2.77678571428571</v>
      </c>
      <c r="J6" s="3" t="s">
        <v>737</v>
      </c>
    </row>
    <row r="7" customFormat="false" ht="15" hidden="false" customHeight="false" outlineLevel="0" collapsed="false">
      <c r="A7" s="7" t="s">
        <v>427</v>
      </c>
      <c r="B7" s="7" t="s">
        <v>238</v>
      </c>
      <c r="C7" s="40" t="n">
        <f aca="false">'Prep List'!$D$7*Assumptions!$B$5</f>
        <v>11</v>
      </c>
      <c r="D7" s="40" t="n">
        <f aca="false">C7</f>
        <v>11</v>
      </c>
      <c r="E7" s="3" t="s">
        <v>735</v>
      </c>
      <c r="F7" s="38" t="n">
        <f aca="false">'Meat Cost &amp; Transfer'!$J$7</f>
        <v>11.2960382598926</v>
      </c>
      <c r="G7" s="41" t="n">
        <f aca="false">C7*F7</f>
        <v>124.256420858819</v>
      </c>
      <c r="H7" s="40" t="n">
        <f aca="false">C7/Assumptions!$B$41</f>
        <v>18.3333333333333</v>
      </c>
      <c r="I7" s="40" t="n">
        <f aca="false">H7/60</f>
        <v>0.305555555555556</v>
      </c>
      <c r="J7" s="3" t="s">
        <v>738</v>
      </c>
    </row>
    <row r="8" customFormat="false" ht="15" hidden="false" customHeight="false" outlineLevel="0" collapsed="false">
      <c r="A8" s="7" t="s">
        <v>241</v>
      </c>
      <c r="B8" s="7" t="s">
        <v>683</v>
      </c>
      <c r="C8" s="40" t="n">
        <f aca="false">'Prep List'!$D$8/Assumptions!$B$43*Assumptions!$B$5</f>
        <v>39.2333333333333</v>
      </c>
      <c r="D8" s="40" t="n">
        <f aca="false">C8</f>
        <v>39.2333333333333</v>
      </c>
      <c r="E8" s="3" t="s">
        <v>735</v>
      </c>
      <c r="F8" s="38" t="n">
        <f aca="false">'Meat Cost &amp; Transfer'!$J$8</f>
        <v>17.9466803457746</v>
      </c>
      <c r="G8" s="41" t="n">
        <f aca="false">C8*F8</f>
        <v>704.108092232555</v>
      </c>
      <c r="H8" s="40" t="n">
        <f aca="false">C8*Assumptions!$B$42</f>
        <v>137.316666666667</v>
      </c>
      <c r="I8" s="40" t="n">
        <f aca="false">H8/35</f>
        <v>3.92333333333333</v>
      </c>
      <c r="J8" s="3" t="s">
        <v>739</v>
      </c>
    </row>
    <row r="9" customFormat="false" ht="15" hidden="false" customHeight="false" outlineLevel="0" collapsed="false">
      <c r="A9" s="7" t="s">
        <v>740</v>
      </c>
      <c r="B9" s="7" t="s">
        <v>244</v>
      </c>
      <c r="C9" s="40" t="n">
        <f aca="false">'Prep List'!$D$9*Assumptions!$B$5</f>
        <v>176.55</v>
      </c>
      <c r="D9" s="40" t="n">
        <f aca="false">C9</f>
        <v>176.55</v>
      </c>
      <c r="E9" s="3" t="s">
        <v>735</v>
      </c>
      <c r="F9" s="38" t="n">
        <f aca="false">'Meat Cost &amp; Transfer'!$J$9</f>
        <v>0.759375</v>
      </c>
      <c r="G9" s="41" t="n">
        <f aca="false">C9*F9</f>
        <v>134.06765625</v>
      </c>
      <c r="H9" s="40" t="n">
        <f aca="false">C9*Assumptions!$B$44</f>
        <v>132.4125</v>
      </c>
      <c r="I9" s="40" t="n">
        <f aca="false">H9/40</f>
        <v>3.3103125</v>
      </c>
      <c r="J9" s="3" t="s">
        <v>328</v>
      </c>
    </row>
    <row r="10" customFormat="false" ht="15" hidden="false" customHeight="false" outlineLevel="0" collapsed="false">
      <c r="A10" s="7" t="s">
        <v>246</v>
      </c>
      <c r="B10" s="7" t="s">
        <v>136</v>
      </c>
      <c r="C10" s="40" t="n">
        <f aca="false">'Prep List'!$D$10*Assumptions!$B$5</f>
        <v>202.4</v>
      </c>
      <c r="D10" s="40" t="n">
        <f aca="false">C10</f>
        <v>202.4</v>
      </c>
      <c r="E10" s="3" t="s">
        <v>735</v>
      </c>
      <c r="F10" s="38" t="n">
        <f aca="false">'Meat Cost &amp; Transfer'!$J$10</f>
        <v>2.2194057389839</v>
      </c>
      <c r="G10" s="41" t="n">
        <f aca="false">C10*F10</f>
        <v>449.207721570341</v>
      </c>
      <c r="H10" s="40" t="n">
        <f aca="false">C10/Assumptions!$B$45</f>
        <v>50.6</v>
      </c>
      <c r="I10" s="40" t="n">
        <f aca="false">H10/10</f>
        <v>5.06</v>
      </c>
      <c r="J10" s="3" t="s">
        <v>741</v>
      </c>
    </row>
    <row r="11" customFormat="false" ht="15" hidden="false" customHeight="false" outlineLevel="0" collapsed="false">
      <c r="A11" s="31" t="s">
        <v>742</v>
      </c>
      <c r="G11" s="42" t="n">
        <f aca="false">SUM(G5:G10)</f>
        <v>3943.84484375</v>
      </c>
      <c r="H11" s="52" t="n">
        <f aca="false">SUM(H5:H10)</f>
        <v>733.2375</v>
      </c>
    </row>
    <row r="13" customFormat="false" ht="15" hidden="false" customHeight="false" outlineLevel="0" collapsed="false">
      <c r="A13" s="3" t="s">
        <v>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2"/>
    <col collapsed="false" customWidth="true" hidden="false" outlineLevel="0" max="5" min="5" style="0" width="14"/>
    <col collapsed="false" customWidth="true" hidden="false" outlineLevel="0" max="6" min="6" style="0" width="26"/>
    <col collapsed="false" customWidth="true" hidden="false" outlineLevel="0" max="7" min="7" style="0" width="22"/>
    <col collapsed="false" customWidth="true" hidden="false" outlineLevel="0" max="8" min="8" style="0" width="4"/>
  </cols>
  <sheetData>
    <row r="1" customFormat="false" ht="17.35" hidden="false" customHeight="false" outlineLevel="0" collapsed="false">
      <c r="A1" s="1" t="s">
        <v>744</v>
      </c>
      <c r="B1" s="2"/>
      <c r="C1" s="2"/>
      <c r="D1" s="2"/>
      <c r="E1" s="2"/>
      <c r="F1" s="2"/>
      <c r="G1" s="2"/>
      <c r="H1" s="2"/>
    </row>
    <row r="2" customFormat="false" ht="15" hidden="false" customHeight="false" outlineLevel="0" collapsed="false">
      <c r="A2" s="3" t="s">
        <v>745</v>
      </c>
    </row>
    <row r="4" customFormat="false" ht="26.85" hidden="false" customHeight="false" outlineLevel="0" collapsed="false">
      <c r="A4" s="4" t="s">
        <v>366</v>
      </c>
      <c r="B4" s="4" t="s">
        <v>746</v>
      </c>
      <c r="C4" s="4" t="s">
        <v>747</v>
      </c>
      <c r="D4" s="4" t="s">
        <v>258</v>
      </c>
      <c r="E4" s="4" t="s">
        <v>748</v>
      </c>
      <c r="F4" s="4" t="s">
        <v>261</v>
      </c>
      <c r="G4" s="4" t="s">
        <v>749</v>
      </c>
    </row>
    <row r="5" customFormat="false" ht="15" hidden="false" customHeight="false" outlineLevel="0" collapsed="false">
      <c r="A5" s="5" t="s">
        <v>750</v>
      </c>
      <c r="B5" s="6"/>
      <c r="C5" s="6"/>
      <c r="D5" s="6"/>
      <c r="E5" s="6"/>
      <c r="F5" s="6"/>
      <c r="G5" s="6"/>
    </row>
    <row r="6" customFormat="false" ht="15" hidden="false" customHeight="false" outlineLevel="0" collapsed="false">
      <c r="A6" s="7" t="s">
        <v>282</v>
      </c>
      <c r="B6" s="53" t="n">
        <f aca="false">ROUNDUP('Prep List'!$D$11*Assumptions!$B$5/'Sides &amp; Ingredients'!$E$25,0)</f>
        <v>13</v>
      </c>
      <c r="C6" s="40" t="n">
        <f aca="false">B6*'Sides &amp; Ingredients'!$B$17</f>
        <v>52</v>
      </c>
      <c r="D6" s="7" t="s">
        <v>128</v>
      </c>
      <c r="E6" s="41" t="n">
        <f aca="false">C6*'Sides &amp; Ingredients'!$D$17</f>
        <v>93.392</v>
      </c>
      <c r="F6" s="7" t="s">
        <v>283</v>
      </c>
      <c r="G6" s="7" t="s">
        <v>751</v>
      </c>
    </row>
    <row r="7" customFormat="false" ht="15" hidden="false" customHeight="false" outlineLevel="0" collapsed="false">
      <c r="A7" s="7" t="s">
        <v>285</v>
      </c>
      <c r="B7" s="43" t="n">
        <f aca="false">B6</f>
        <v>13</v>
      </c>
      <c r="C7" s="40" t="n">
        <f aca="false">B7*'Sides &amp; Ingredients'!$B$18</f>
        <v>39</v>
      </c>
      <c r="D7" s="7" t="s">
        <v>128</v>
      </c>
      <c r="E7" s="41" t="n">
        <f aca="false">C7*'Sides &amp; Ingredients'!$D$18</f>
        <v>218.01</v>
      </c>
      <c r="F7" s="7" t="s">
        <v>286</v>
      </c>
      <c r="G7" s="7" t="s">
        <v>751</v>
      </c>
    </row>
    <row r="8" customFormat="false" ht="15" hidden="false" customHeight="false" outlineLevel="0" collapsed="false">
      <c r="A8" s="7" t="s">
        <v>288</v>
      </c>
      <c r="B8" s="43" t="n">
        <f aca="false">B6</f>
        <v>13</v>
      </c>
      <c r="C8" s="40" t="n">
        <f aca="false">B8*'Sides &amp; Ingredients'!$B$19</f>
        <v>39</v>
      </c>
      <c r="D8" s="7" t="s">
        <v>128</v>
      </c>
      <c r="E8" s="41" t="n">
        <f aca="false">C8*'Sides &amp; Ingredients'!$D$19</f>
        <v>205.53</v>
      </c>
      <c r="F8" s="7" t="s">
        <v>289</v>
      </c>
      <c r="G8" s="7" t="s">
        <v>751</v>
      </c>
    </row>
    <row r="9" customFormat="false" ht="15" hidden="false" customHeight="false" outlineLevel="0" collapsed="false">
      <c r="A9" s="7" t="s">
        <v>291</v>
      </c>
      <c r="B9" s="43" t="n">
        <f aca="false">B6</f>
        <v>13</v>
      </c>
      <c r="C9" s="40" t="n">
        <f aca="false">B9*'Sides &amp; Ingredients'!$B$20</f>
        <v>13</v>
      </c>
      <c r="D9" s="7" t="s">
        <v>292</v>
      </c>
      <c r="E9" s="41" t="n">
        <f aca="false">C9*'Sides &amp; Ingredients'!$D$20</f>
        <v>85.8325</v>
      </c>
      <c r="F9" s="7" t="s">
        <v>272</v>
      </c>
      <c r="G9" s="7" t="s">
        <v>751</v>
      </c>
    </row>
    <row r="10" customFormat="false" ht="15" hidden="false" customHeight="false" outlineLevel="0" collapsed="false">
      <c r="A10" s="7" t="s">
        <v>294</v>
      </c>
      <c r="B10" s="43" t="n">
        <f aca="false">B6</f>
        <v>13</v>
      </c>
      <c r="C10" s="40" t="n">
        <f aca="false">B10*'Sides &amp; Ingredients'!$B$21</f>
        <v>26</v>
      </c>
      <c r="D10" s="7" t="s">
        <v>295</v>
      </c>
      <c r="E10" s="41" t="n">
        <f aca="false">C10*'Sides &amp; Ingredients'!$D$21</f>
        <v>120.4008</v>
      </c>
      <c r="F10" s="7" t="s">
        <v>296</v>
      </c>
      <c r="G10" s="7" t="s">
        <v>751</v>
      </c>
    </row>
    <row r="11" customFormat="false" ht="15" hidden="false" customHeight="false" outlineLevel="0" collapsed="false">
      <c r="A11" s="7" t="s">
        <v>298</v>
      </c>
      <c r="B11" s="43" t="n">
        <f aca="false">B6</f>
        <v>13</v>
      </c>
      <c r="C11" s="40" t="n">
        <f aca="false">B11*'Sides &amp; Ingredients'!$B$22</f>
        <v>13</v>
      </c>
      <c r="D11" s="7" t="s">
        <v>128</v>
      </c>
      <c r="E11" s="41" t="n">
        <f aca="false">C11*'Sides &amp; Ingredients'!$D$22</f>
        <v>30.3407</v>
      </c>
      <c r="F11" s="7" t="s">
        <v>299</v>
      </c>
      <c r="G11" s="7" t="s">
        <v>751</v>
      </c>
    </row>
    <row r="12" customFormat="false" ht="15" hidden="false" customHeight="false" outlineLevel="0" collapsed="false">
      <c r="A12" s="7" t="s">
        <v>301</v>
      </c>
      <c r="B12" s="43" t="n">
        <f aca="false">B6</f>
        <v>13</v>
      </c>
      <c r="C12" s="40" t="n">
        <f aca="false">B12*'Sides &amp; Ingredients'!$B$23</f>
        <v>13</v>
      </c>
      <c r="D12" s="7" t="s">
        <v>277</v>
      </c>
      <c r="E12" s="41" t="n">
        <f aca="false">C12*'Sides &amp; Ingredients'!$D$23</f>
        <v>19.5</v>
      </c>
      <c r="F12" s="7"/>
      <c r="G12" s="7" t="s">
        <v>751</v>
      </c>
    </row>
    <row r="13" customFormat="false" ht="15" hidden="false" customHeight="false" outlineLevel="0" collapsed="false">
      <c r="A13" s="5" t="s">
        <v>752</v>
      </c>
      <c r="B13" s="6"/>
      <c r="C13" s="6"/>
      <c r="D13" s="6"/>
      <c r="E13" s="6"/>
      <c r="F13" s="6"/>
      <c r="G13" s="6"/>
    </row>
    <row r="14" customFormat="false" ht="15" hidden="false" customHeight="false" outlineLevel="0" collapsed="false">
      <c r="A14" s="7" t="s">
        <v>303</v>
      </c>
      <c r="B14" s="53" t="n">
        <f aca="false">ROUNDUP('Prep List'!$D$12*Assumptions!$B$5/'Sides &amp; Ingredients'!$E$38,0)</f>
        <v>6</v>
      </c>
      <c r="C14" s="40" t="n">
        <f aca="false">B14*'Sides &amp; Ingredients'!$B$30</f>
        <v>18</v>
      </c>
      <c r="D14" s="7" t="s">
        <v>264</v>
      </c>
      <c r="E14" s="41" t="n">
        <f aca="false">C14*'Sides &amp; Ingredients'!$D$30</f>
        <v>138.3894</v>
      </c>
      <c r="F14" s="7" t="s">
        <v>265</v>
      </c>
      <c r="G14" s="7" t="s">
        <v>751</v>
      </c>
    </row>
    <row r="15" customFormat="false" ht="15" hidden="false" customHeight="false" outlineLevel="0" collapsed="false">
      <c r="A15" s="7" t="s">
        <v>305</v>
      </c>
      <c r="B15" s="43" t="n">
        <f aca="false">B14</f>
        <v>6</v>
      </c>
      <c r="C15" s="40" t="n">
        <f aca="false">B15*'Sides &amp; Ingredients'!$B$31</f>
        <v>12</v>
      </c>
      <c r="D15" s="7" t="s">
        <v>128</v>
      </c>
      <c r="E15" s="41" t="n">
        <f aca="false">C15*'Sides &amp; Ingredients'!$D$31</f>
        <v>24</v>
      </c>
      <c r="F15" s="7" t="s">
        <v>306</v>
      </c>
      <c r="G15" s="7" t="s">
        <v>753</v>
      </c>
    </row>
    <row r="16" customFormat="false" ht="15" hidden="false" customHeight="false" outlineLevel="0" collapsed="false">
      <c r="A16" s="7" t="s">
        <v>307</v>
      </c>
      <c r="B16" s="43" t="n">
        <f aca="false">B14</f>
        <v>6</v>
      </c>
      <c r="C16" s="40" t="n">
        <f aca="false">B16*'Sides &amp; Ingredients'!$B$32</f>
        <v>6</v>
      </c>
      <c r="D16" s="7" t="s">
        <v>128</v>
      </c>
      <c r="E16" s="41" t="n">
        <f aca="false">C16*'Sides &amp; Ingredients'!$D$32</f>
        <v>5.4</v>
      </c>
      <c r="F16" s="7" t="s">
        <v>308</v>
      </c>
      <c r="G16" s="7" t="s">
        <v>751</v>
      </c>
    </row>
    <row r="17" customFormat="false" ht="15" hidden="false" customHeight="false" outlineLevel="0" collapsed="false">
      <c r="A17" s="7" t="s">
        <v>309</v>
      </c>
      <c r="B17" s="43" t="n">
        <f aca="false">B14</f>
        <v>6</v>
      </c>
      <c r="C17" s="40" t="n">
        <f aca="false">B17*'Sides &amp; Ingredients'!$B$33</f>
        <v>3</v>
      </c>
      <c r="D17" s="7" t="s">
        <v>128</v>
      </c>
      <c r="E17" s="41" t="n">
        <f aca="false">C17*'Sides &amp; Ingredients'!$D$33</f>
        <v>4.5</v>
      </c>
      <c r="F17" s="7" t="s">
        <v>310</v>
      </c>
      <c r="G17" s="7" t="s">
        <v>751</v>
      </c>
    </row>
    <row r="18" customFormat="false" ht="15" hidden="false" customHeight="false" outlineLevel="0" collapsed="false">
      <c r="A18" s="7" t="s">
        <v>311</v>
      </c>
      <c r="B18" s="43" t="n">
        <f aca="false">B14</f>
        <v>6</v>
      </c>
      <c r="C18" s="40" t="n">
        <f aca="false">B18*'Sides &amp; Ingredients'!$B$34</f>
        <v>192</v>
      </c>
      <c r="D18" s="7" t="s">
        <v>271</v>
      </c>
      <c r="E18" s="41" t="n">
        <f aca="false">C18*'Sides &amp; Ingredients'!$D$34</f>
        <v>21.19875</v>
      </c>
      <c r="F18" s="7"/>
      <c r="G18" s="7" t="s">
        <v>753</v>
      </c>
    </row>
    <row r="19" customFormat="false" ht="15" hidden="false" customHeight="false" outlineLevel="0" collapsed="false">
      <c r="A19" s="7" t="s">
        <v>267</v>
      </c>
      <c r="B19" s="43" t="n">
        <f aca="false">B14</f>
        <v>6</v>
      </c>
      <c r="C19" s="40" t="n">
        <f aca="false">B19*'Sides &amp; Ingredients'!$B$35</f>
        <v>6</v>
      </c>
      <c r="D19" s="7" t="s">
        <v>128</v>
      </c>
      <c r="E19" s="41" t="n">
        <f aca="false">C19*'Sides &amp; Ingredients'!$D$35</f>
        <v>8.0232</v>
      </c>
      <c r="F19" s="7" t="s">
        <v>268</v>
      </c>
      <c r="G19" s="7" t="s">
        <v>751</v>
      </c>
    </row>
    <row r="20" customFormat="false" ht="15" hidden="false" customHeight="false" outlineLevel="0" collapsed="false">
      <c r="A20" s="7" t="s">
        <v>312</v>
      </c>
      <c r="B20" s="43" t="n">
        <f aca="false">B14</f>
        <v>6</v>
      </c>
      <c r="C20" s="40" t="n">
        <f aca="false">B20*'Sides &amp; Ingredients'!$B$36</f>
        <v>6</v>
      </c>
      <c r="D20" s="7" t="s">
        <v>277</v>
      </c>
      <c r="E20" s="41" t="n">
        <f aca="false">C20*'Sides &amp; Ingredients'!$D$36</f>
        <v>6</v>
      </c>
      <c r="F20" s="7"/>
      <c r="G20" s="7" t="s">
        <v>751</v>
      </c>
    </row>
    <row r="21" customFormat="false" ht="15" hidden="false" customHeight="false" outlineLevel="0" collapsed="false">
      <c r="A21" s="5" t="s">
        <v>432</v>
      </c>
      <c r="B21" s="6"/>
      <c r="C21" s="6"/>
      <c r="D21" s="6"/>
      <c r="E21" s="6"/>
      <c r="F21" s="6"/>
      <c r="G21" s="6"/>
    </row>
    <row r="22" customFormat="false" ht="15" hidden="false" customHeight="false" outlineLevel="0" collapsed="false">
      <c r="A22" s="7" t="s">
        <v>314</v>
      </c>
      <c r="B22" s="53" t="n">
        <f aca="false">ROUNDUP('Prep List'!$D$13*Assumptions!$B$5/'Sides &amp; Ingredients'!$E$50,0)</f>
        <v>6</v>
      </c>
      <c r="C22" s="40" t="n">
        <f aca="false">B22*'Sides &amp; Ingredients'!$B$43</f>
        <v>30</v>
      </c>
      <c r="D22" s="7" t="s">
        <v>128</v>
      </c>
      <c r="E22" s="41" t="n">
        <f aca="false">C22*'Sides &amp; Ingredients'!$D$43</f>
        <v>45.465</v>
      </c>
      <c r="F22" s="7" t="s">
        <v>283</v>
      </c>
      <c r="G22" s="7" t="s">
        <v>751</v>
      </c>
    </row>
    <row r="23" customFormat="false" ht="15" hidden="false" customHeight="false" outlineLevel="0" collapsed="false">
      <c r="A23" s="7" t="s">
        <v>316</v>
      </c>
      <c r="B23" s="43" t="n">
        <f aca="false">B22</f>
        <v>6</v>
      </c>
      <c r="C23" s="40" t="n">
        <f aca="false">B23*'Sides &amp; Ingredients'!$B$44</f>
        <v>18</v>
      </c>
      <c r="D23" s="7" t="s">
        <v>128</v>
      </c>
      <c r="E23" s="41" t="n">
        <f aca="false">C23*'Sides &amp; Ingredients'!$D$44</f>
        <v>25.4448</v>
      </c>
      <c r="F23" s="7" t="s">
        <v>317</v>
      </c>
      <c r="G23" s="7" t="s">
        <v>751</v>
      </c>
    </row>
    <row r="24" customFormat="false" ht="15" hidden="false" customHeight="false" outlineLevel="0" collapsed="false">
      <c r="A24" s="7" t="s">
        <v>319</v>
      </c>
      <c r="B24" s="43" t="n">
        <f aca="false">B22</f>
        <v>6</v>
      </c>
      <c r="C24" s="40" t="n">
        <f aca="false">B24*'Sides &amp; Ingredients'!$B$45</f>
        <v>384</v>
      </c>
      <c r="D24" s="7" t="s">
        <v>271</v>
      </c>
      <c r="E24" s="41" t="n">
        <f aca="false">C24*'Sides &amp; Ingredients'!$D$45</f>
        <v>42.3936</v>
      </c>
      <c r="F24" s="7" t="s">
        <v>272</v>
      </c>
      <c r="G24" s="7" t="s">
        <v>751</v>
      </c>
    </row>
    <row r="25" customFormat="false" ht="15" hidden="false" customHeight="false" outlineLevel="0" collapsed="false">
      <c r="A25" s="7" t="s">
        <v>270</v>
      </c>
      <c r="B25" s="43" t="n">
        <f aca="false">B22</f>
        <v>6</v>
      </c>
      <c r="C25" s="40" t="n">
        <f aca="false">B25*'Sides &amp; Ingredients'!$B$46</f>
        <v>96</v>
      </c>
      <c r="D25" s="7" t="s">
        <v>271</v>
      </c>
      <c r="E25" s="41" t="n">
        <f aca="false">C25*'Sides &amp; Ingredients'!$D$46</f>
        <v>4.8</v>
      </c>
      <c r="F25" s="7" t="s">
        <v>272</v>
      </c>
      <c r="G25" s="7" t="s">
        <v>751</v>
      </c>
    </row>
    <row r="26" customFormat="false" ht="15" hidden="false" customHeight="false" outlineLevel="0" collapsed="false">
      <c r="A26" s="7" t="s">
        <v>321</v>
      </c>
      <c r="B26" s="43" t="n">
        <f aca="false">B22</f>
        <v>6</v>
      </c>
      <c r="C26" s="40" t="n">
        <f aca="false">B26*'Sides &amp; Ingredients'!$B$47</f>
        <v>6</v>
      </c>
      <c r="D26" s="7" t="s">
        <v>128</v>
      </c>
      <c r="E26" s="41" t="n">
        <f aca="false">C26*'Sides &amp; Ingredients'!$D$47</f>
        <v>4.6992</v>
      </c>
      <c r="F26" s="7" t="s">
        <v>322</v>
      </c>
      <c r="G26" s="7" t="s">
        <v>751</v>
      </c>
    </row>
    <row r="27" customFormat="false" ht="15" hidden="false" customHeight="false" outlineLevel="0" collapsed="false">
      <c r="A27" s="7" t="s">
        <v>301</v>
      </c>
      <c r="B27" s="43" t="n">
        <f aca="false">B22</f>
        <v>6</v>
      </c>
      <c r="C27" s="40" t="n">
        <f aca="false">B27*'Sides &amp; Ingredients'!$B$48</f>
        <v>6</v>
      </c>
      <c r="D27" s="7" t="s">
        <v>277</v>
      </c>
      <c r="E27" s="41" t="n">
        <f aca="false">C27*'Sides &amp; Ingredients'!$D$48</f>
        <v>3</v>
      </c>
      <c r="F27" s="7"/>
      <c r="G27" s="7" t="s">
        <v>751</v>
      </c>
    </row>
    <row r="28" customFormat="false" ht="15" hidden="false" customHeight="false" outlineLevel="0" collapsed="false">
      <c r="A28" s="5" t="s">
        <v>754</v>
      </c>
      <c r="B28" s="6"/>
      <c r="C28" s="6"/>
      <c r="D28" s="6"/>
      <c r="E28" s="6"/>
      <c r="F28" s="6"/>
      <c r="G28" s="6"/>
    </row>
    <row r="29" customFormat="false" ht="15" hidden="false" customHeight="false" outlineLevel="0" collapsed="false">
      <c r="A29" s="7" t="s">
        <v>325</v>
      </c>
      <c r="B29" s="53" t="n">
        <f aca="false">ROUNDUP('Prep List'!$D$14*Assumptions!$B$5/'Sides &amp; Ingredients'!$E$61,0)</f>
        <v>3</v>
      </c>
      <c r="C29" s="40" t="n">
        <f aca="false">B29*'Sides &amp; Ingredients'!$B$55</f>
        <v>6</v>
      </c>
      <c r="D29" s="7" t="s">
        <v>128</v>
      </c>
      <c r="E29" s="41" t="n">
        <f aca="false">C29*'Sides &amp; Ingredients'!$D$55</f>
        <v>27</v>
      </c>
      <c r="F29" s="7" t="s">
        <v>326</v>
      </c>
      <c r="G29" s="7" t="s">
        <v>751</v>
      </c>
    </row>
    <row r="30" customFormat="false" ht="15" hidden="false" customHeight="false" outlineLevel="0" collapsed="false">
      <c r="A30" s="7" t="s">
        <v>291</v>
      </c>
      <c r="B30" s="43" t="n">
        <f aca="false">B29</f>
        <v>3</v>
      </c>
      <c r="C30" s="40" t="n">
        <f aca="false">B30*'Sides &amp; Ingredients'!$B$56</f>
        <v>3</v>
      </c>
      <c r="D30" s="7" t="s">
        <v>292</v>
      </c>
      <c r="E30" s="41" t="n">
        <f aca="false">C30*'Sides &amp; Ingredients'!$D$56</f>
        <v>19.8075</v>
      </c>
      <c r="F30" s="7" t="s">
        <v>272</v>
      </c>
      <c r="G30" s="7" t="s">
        <v>751</v>
      </c>
    </row>
    <row r="31" customFormat="false" ht="15" hidden="false" customHeight="false" outlineLevel="0" collapsed="false">
      <c r="A31" s="7" t="s">
        <v>327</v>
      </c>
      <c r="B31" s="43" t="n">
        <f aca="false">B29</f>
        <v>3</v>
      </c>
      <c r="C31" s="40" t="n">
        <f aca="false">B31*'Sides &amp; Ingredients'!$B$57</f>
        <v>18</v>
      </c>
      <c r="D31" s="7" t="s">
        <v>128</v>
      </c>
      <c r="E31" s="41" t="n">
        <f aca="false">C31*'Sides &amp; Ingredients'!$D$57</f>
        <v>11.7</v>
      </c>
      <c r="F31" s="7" t="s">
        <v>328</v>
      </c>
      <c r="G31" s="7" t="s">
        <v>751</v>
      </c>
    </row>
    <row r="32" customFormat="false" ht="15" hidden="false" customHeight="false" outlineLevel="0" collapsed="false">
      <c r="A32" s="7" t="s">
        <v>329</v>
      </c>
      <c r="B32" s="43" t="n">
        <f aca="false">B29</f>
        <v>3</v>
      </c>
      <c r="C32" s="40" t="n">
        <f aca="false">B32*'Sides &amp; Ingredients'!$B$58</f>
        <v>6</v>
      </c>
      <c r="D32" s="7" t="s">
        <v>128</v>
      </c>
      <c r="E32" s="41" t="n">
        <f aca="false">C32*'Sides &amp; Ingredients'!$D$58</f>
        <v>32.34</v>
      </c>
      <c r="F32" s="7" t="s">
        <v>330</v>
      </c>
      <c r="G32" s="7" t="s">
        <v>751</v>
      </c>
    </row>
    <row r="33" customFormat="false" ht="15" hidden="false" customHeight="false" outlineLevel="0" collapsed="false">
      <c r="A33" s="7" t="s">
        <v>332</v>
      </c>
      <c r="B33" s="43" t="n">
        <f aca="false">B29</f>
        <v>3</v>
      </c>
      <c r="C33" s="40" t="n">
        <f aca="false">B33*'Sides &amp; Ingredients'!$B$59</f>
        <v>6</v>
      </c>
      <c r="D33" s="7" t="s">
        <v>128</v>
      </c>
      <c r="E33" s="41" t="n">
        <f aca="false">C33*'Sides &amp; Ingredients'!$D$59</f>
        <v>21</v>
      </c>
      <c r="F33" s="7" t="s">
        <v>310</v>
      </c>
      <c r="G33" s="7" t="s">
        <v>751</v>
      </c>
    </row>
    <row r="34" customFormat="false" ht="15" hidden="false" customHeight="false" outlineLevel="0" collapsed="false">
      <c r="A34" s="5" t="s">
        <v>755</v>
      </c>
      <c r="B34" s="6"/>
      <c r="C34" s="6"/>
      <c r="D34" s="6"/>
      <c r="E34" s="6"/>
      <c r="F34" s="6"/>
      <c r="G34" s="6"/>
    </row>
    <row r="35" customFormat="false" ht="15" hidden="false" customHeight="false" outlineLevel="0" collapsed="false">
      <c r="A35" s="7" t="s">
        <v>336</v>
      </c>
      <c r="B35" s="53" t="n">
        <f aca="false">ROUNDUP('Prep List'!$D$17*Assumptions!$B$5/'Sides &amp; Ingredients'!$E$71,0)</f>
        <v>4</v>
      </c>
      <c r="C35" s="40" t="n">
        <f aca="false">B35*'Sides &amp; Ingredients'!$B$66</f>
        <v>20</v>
      </c>
      <c r="D35" s="7" t="s">
        <v>128</v>
      </c>
      <c r="E35" s="41" t="n">
        <f aca="false">C35*'Sides &amp; Ingredients'!$D$66</f>
        <v>20.776</v>
      </c>
      <c r="F35" s="7" t="s">
        <v>337</v>
      </c>
      <c r="G35" s="7" t="s">
        <v>751</v>
      </c>
    </row>
    <row r="36" customFormat="false" ht="15" hidden="false" customHeight="false" outlineLevel="0" collapsed="false">
      <c r="A36" s="7" t="s">
        <v>270</v>
      </c>
      <c r="B36" s="43" t="n">
        <f aca="false">B35</f>
        <v>4</v>
      </c>
      <c r="C36" s="40" t="n">
        <f aca="false">B36*'Sides &amp; Ingredients'!$B$67</f>
        <v>128</v>
      </c>
      <c r="D36" s="7" t="s">
        <v>271</v>
      </c>
      <c r="E36" s="41" t="n">
        <f aca="false">C36*'Sides &amp; Ingredients'!$D$67</f>
        <v>5.1584</v>
      </c>
      <c r="F36" s="7" t="s">
        <v>272</v>
      </c>
      <c r="G36" s="7" t="s">
        <v>751</v>
      </c>
    </row>
    <row r="37" customFormat="false" ht="15" hidden="false" customHeight="false" outlineLevel="0" collapsed="false">
      <c r="A37" s="7" t="s">
        <v>321</v>
      </c>
      <c r="B37" s="43" t="n">
        <f aca="false">B35</f>
        <v>4</v>
      </c>
      <c r="C37" s="40" t="n">
        <f aca="false">B37*'Sides &amp; Ingredients'!$B$68</f>
        <v>2</v>
      </c>
      <c r="D37" s="7" t="s">
        <v>128</v>
      </c>
      <c r="E37" s="41" t="n">
        <f aca="false">C37*'Sides &amp; Ingredients'!$D$68</f>
        <v>1.5664</v>
      </c>
      <c r="F37" s="7" t="s">
        <v>322</v>
      </c>
      <c r="G37" s="7" t="s">
        <v>751</v>
      </c>
    </row>
    <row r="38" customFormat="false" ht="15" hidden="false" customHeight="false" outlineLevel="0" collapsed="false">
      <c r="A38" s="7" t="s">
        <v>340</v>
      </c>
      <c r="B38" s="43" t="n">
        <f aca="false">B35</f>
        <v>4</v>
      </c>
      <c r="C38" s="40" t="n">
        <f aca="false">B38*'Sides &amp; Ingredients'!$B$69</f>
        <v>4</v>
      </c>
      <c r="D38" s="7" t="s">
        <v>277</v>
      </c>
      <c r="E38" s="41" t="n">
        <f aca="false">C38*'Sides &amp; Ingredients'!$D$69</f>
        <v>1.2</v>
      </c>
      <c r="F38" s="7"/>
      <c r="G38" s="7" t="s">
        <v>751</v>
      </c>
    </row>
    <row r="39" customFormat="false" ht="15" hidden="false" customHeight="false" outlineLevel="0" collapsed="false">
      <c r="A39" s="5" t="s">
        <v>756</v>
      </c>
      <c r="B39" s="6"/>
      <c r="C39" s="6"/>
      <c r="D39" s="6"/>
      <c r="E39" s="6"/>
      <c r="F39" s="6"/>
      <c r="G39" s="6"/>
    </row>
    <row r="40" customFormat="false" ht="15" hidden="false" customHeight="false" outlineLevel="0" collapsed="false">
      <c r="A40" s="7" t="s">
        <v>263</v>
      </c>
      <c r="B40" s="53" t="n">
        <f aca="false">ROUNDUP(('Prep List'!$D$18*Assumptions!$B$5+'Sides &amp; Ingredients'!$B$34*$B$14+'Sides &amp; Ingredients'!$B$87*$B$51)/'Sides &amp; Ingredients'!$E$12,0)</f>
        <v>10</v>
      </c>
      <c r="C40" s="40" t="n">
        <f aca="false">B40*'Sides &amp; Ingredients'!$B$6</f>
        <v>10</v>
      </c>
      <c r="D40" s="7" t="s">
        <v>264</v>
      </c>
      <c r="E40" s="41" t="n">
        <f aca="false">C40*'Sides &amp; Ingredients'!$D$6</f>
        <v>78.533</v>
      </c>
      <c r="F40" s="7" t="s">
        <v>265</v>
      </c>
      <c r="G40" s="7" t="s">
        <v>751</v>
      </c>
    </row>
    <row r="41" customFormat="false" ht="15" hidden="false" customHeight="false" outlineLevel="0" collapsed="false">
      <c r="A41" s="7" t="s">
        <v>267</v>
      </c>
      <c r="B41" s="43" t="n">
        <f aca="false">B40</f>
        <v>10</v>
      </c>
      <c r="C41" s="40" t="n">
        <f aca="false">B41*'Sides &amp; Ingredients'!$B$7</f>
        <v>20</v>
      </c>
      <c r="D41" s="7" t="s">
        <v>128</v>
      </c>
      <c r="E41" s="41" t="n">
        <f aca="false">C41*'Sides &amp; Ingredients'!$D$7</f>
        <v>26.744</v>
      </c>
      <c r="F41" s="7" t="s">
        <v>268</v>
      </c>
      <c r="G41" s="7" t="s">
        <v>751</v>
      </c>
    </row>
    <row r="42" customFormat="false" ht="15" hidden="false" customHeight="false" outlineLevel="0" collapsed="false">
      <c r="A42" s="7" t="s">
        <v>270</v>
      </c>
      <c r="B42" s="43" t="n">
        <f aca="false">B40</f>
        <v>10</v>
      </c>
      <c r="C42" s="40" t="n">
        <f aca="false">B42*'Sides &amp; Ingredients'!$B$8</f>
        <v>160</v>
      </c>
      <c r="D42" s="7" t="s">
        <v>271</v>
      </c>
      <c r="E42" s="41" t="n">
        <f aca="false">C42*'Sides &amp; Ingredients'!$D$8</f>
        <v>6.448</v>
      </c>
      <c r="F42" s="7" t="s">
        <v>272</v>
      </c>
      <c r="G42" s="7" t="s">
        <v>751</v>
      </c>
    </row>
    <row r="43" customFormat="false" ht="15" hidden="false" customHeight="false" outlineLevel="0" collapsed="false">
      <c r="A43" s="7" t="s">
        <v>274</v>
      </c>
      <c r="B43" s="43" t="n">
        <f aca="false">B40</f>
        <v>10</v>
      </c>
      <c r="C43" s="40" t="n">
        <f aca="false">B43*'Sides &amp; Ingredients'!$B$9</f>
        <v>80</v>
      </c>
      <c r="D43" s="7" t="s">
        <v>271</v>
      </c>
      <c r="E43" s="41" t="n">
        <f aca="false">C43*'Sides &amp; Ingredients'!$D$9</f>
        <v>9.6</v>
      </c>
      <c r="F43" s="7" t="s">
        <v>272</v>
      </c>
      <c r="G43" s="7" t="s">
        <v>751</v>
      </c>
    </row>
    <row r="44" customFormat="false" ht="15" hidden="false" customHeight="false" outlineLevel="0" collapsed="false">
      <c r="A44" s="7" t="s">
        <v>276</v>
      </c>
      <c r="B44" s="43" t="n">
        <f aca="false">B40</f>
        <v>10</v>
      </c>
      <c r="C44" s="40" t="n">
        <f aca="false">B44*'Sides &amp; Ingredients'!$B$10</f>
        <v>10</v>
      </c>
      <c r="D44" s="7" t="s">
        <v>277</v>
      </c>
      <c r="E44" s="41" t="n">
        <f aca="false">C44*'Sides &amp; Ingredients'!$D$10</f>
        <v>20</v>
      </c>
      <c r="F44" s="7" t="s">
        <v>278</v>
      </c>
      <c r="G44" s="7" t="s">
        <v>751</v>
      </c>
    </row>
    <row r="45" customFormat="false" ht="15" hidden="false" customHeight="false" outlineLevel="0" collapsed="false">
      <c r="A45" s="5" t="s">
        <v>757</v>
      </c>
      <c r="B45" s="6"/>
      <c r="C45" s="6"/>
      <c r="D45" s="6"/>
      <c r="E45" s="6"/>
      <c r="F45" s="6"/>
      <c r="G45" s="6"/>
    </row>
    <row r="46" customFormat="false" ht="15" hidden="false" customHeight="false" outlineLevel="0" collapsed="false">
      <c r="A46" s="7" t="s">
        <v>319</v>
      </c>
      <c r="B46" s="53" t="n">
        <f aca="false">ROUNDUP('Prep List'!$D$23*Assumptions!$B$5/'Sides &amp; Ingredients'!$E$81,0)</f>
        <v>3</v>
      </c>
      <c r="C46" s="40" t="n">
        <f aca="false">B46*'Sides &amp; Ingredients'!$B$76</f>
        <v>144</v>
      </c>
      <c r="D46" s="7" t="s">
        <v>271</v>
      </c>
      <c r="E46" s="41" t="n">
        <f aca="false">C46*'Sides &amp; Ingredients'!$D$76</f>
        <v>15.8976</v>
      </c>
      <c r="F46" s="7" t="s">
        <v>272</v>
      </c>
      <c r="G46" s="7" t="s">
        <v>751</v>
      </c>
    </row>
    <row r="47" customFormat="false" ht="15" hidden="false" customHeight="false" outlineLevel="0" collapsed="false">
      <c r="A47" s="7" t="s">
        <v>342</v>
      </c>
      <c r="B47" s="43" t="n">
        <f aca="false">B46</f>
        <v>3</v>
      </c>
      <c r="C47" s="40" t="n">
        <f aca="false">B47*'Sides &amp; Ingredients'!$B$77</f>
        <v>24</v>
      </c>
      <c r="D47" s="7" t="s">
        <v>271</v>
      </c>
      <c r="E47" s="41" t="n">
        <f aca="false">C47*'Sides &amp; Ingredients'!$D$77</f>
        <v>1.8816</v>
      </c>
      <c r="F47" s="7" t="s">
        <v>272</v>
      </c>
      <c r="G47" s="7" t="s">
        <v>751</v>
      </c>
    </row>
    <row r="48" customFormat="false" ht="15" hidden="false" customHeight="false" outlineLevel="0" collapsed="false">
      <c r="A48" s="7" t="s">
        <v>344</v>
      </c>
      <c r="B48" s="43" t="n">
        <f aca="false">B46</f>
        <v>3</v>
      </c>
      <c r="C48" s="40" t="n">
        <f aca="false">B48*'Sides &amp; Ingredients'!$B$78</f>
        <v>24</v>
      </c>
      <c r="D48" s="7" t="s">
        <v>271</v>
      </c>
      <c r="E48" s="41" t="n">
        <f aca="false">C48*'Sides &amp; Ingredients'!$D$78</f>
        <v>2.4</v>
      </c>
      <c r="F48" s="7" t="s">
        <v>272</v>
      </c>
      <c r="G48" s="7" t="s">
        <v>751</v>
      </c>
    </row>
    <row r="49" customFormat="false" ht="15" hidden="false" customHeight="false" outlineLevel="0" collapsed="false">
      <c r="A49" s="7" t="s">
        <v>345</v>
      </c>
      <c r="B49" s="43" t="n">
        <f aca="false">B46</f>
        <v>3</v>
      </c>
      <c r="C49" s="40" t="n">
        <f aca="false">B49*'Sides &amp; Ingredients'!$B$79</f>
        <v>3</v>
      </c>
      <c r="D49" s="7" t="s">
        <v>277</v>
      </c>
      <c r="E49" s="41" t="n">
        <f aca="false">C49*'Sides &amp; Ingredients'!$D$79</f>
        <v>3</v>
      </c>
      <c r="F49" s="7"/>
      <c r="G49" s="7" t="s">
        <v>751</v>
      </c>
    </row>
    <row r="50" customFormat="false" ht="15" hidden="false" customHeight="false" outlineLevel="0" collapsed="false">
      <c r="A50" s="5" t="s">
        <v>758</v>
      </c>
      <c r="B50" s="6"/>
      <c r="C50" s="6"/>
      <c r="D50" s="6"/>
      <c r="E50" s="6"/>
      <c r="F50" s="6"/>
      <c r="G50" s="6"/>
    </row>
    <row r="51" customFormat="false" ht="15" hidden="false" customHeight="false" outlineLevel="0" collapsed="false">
      <c r="A51" s="7" t="s">
        <v>347</v>
      </c>
      <c r="B51" s="53" t="n">
        <f aca="false">ROUNDUP('Prep List'!$D$24*Assumptions!$B$5/'Sides &amp; Ingredients'!$E$90,0)</f>
        <v>1</v>
      </c>
      <c r="C51" s="40" t="n">
        <f aca="false">B51*'Sides &amp; Ingredients'!$B$86</f>
        <v>2</v>
      </c>
      <c r="D51" s="7" t="s">
        <v>128</v>
      </c>
      <c r="E51" s="41" t="n">
        <f aca="false">C51*'Sides &amp; Ingredients'!$D$86</f>
        <v>7</v>
      </c>
      <c r="F51" s="7" t="s">
        <v>310</v>
      </c>
      <c r="G51" s="7" t="s">
        <v>751</v>
      </c>
    </row>
    <row r="52" customFormat="false" ht="15" hidden="false" customHeight="false" outlineLevel="0" collapsed="false">
      <c r="A52" s="7" t="s">
        <v>311</v>
      </c>
      <c r="B52" s="43" t="n">
        <f aca="false">B51</f>
        <v>1</v>
      </c>
      <c r="C52" s="40" t="n">
        <f aca="false">B52*'Sides &amp; Ingredients'!$B$87</f>
        <v>64</v>
      </c>
      <c r="D52" s="7" t="s">
        <v>271</v>
      </c>
      <c r="E52" s="41" t="n">
        <f aca="false">C52*'Sides &amp; Ingredients'!$D$87</f>
        <v>7.06625</v>
      </c>
      <c r="F52" s="7"/>
      <c r="G52" s="7" t="s">
        <v>753</v>
      </c>
    </row>
    <row r="53" customFormat="false" ht="15" hidden="false" customHeight="false" outlineLevel="0" collapsed="false">
      <c r="A53" s="7" t="s">
        <v>270</v>
      </c>
      <c r="B53" s="43" t="n">
        <f aca="false">B51</f>
        <v>1</v>
      </c>
      <c r="C53" s="40" t="n">
        <f aca="false">B53*'Sides &amp; Ingredients'!$B$88</f>
        <v>8</v>
      </c>
      <c r="D53" s="7" t="s">
        <v>271</v>
      </c>
      <c r="E53" s="41" t="n">
        <f aca="false">C53*'Sides &amp; Ingredients'!$D$88</f>
        <v>0.3224</v>
      </c>
      <c r="F53" s="7" t="s">
        <v>272</v>
      </c>
      <c r="G53" s="7" t="s">
        <v>751</v>
      </c>
    </row>
    <row r="54" customFormat="false" ht="15" hidden="false" customHeight="false" outlineLevel="0" collapsed="false">
      <c r="A54" s="5" t="s">
        <v>759</v>
      </c>
      <c r="B54" s="6"/>
      <c r="C54" s="6"/>
      <c r="D54" s="6"/>
      <c r="E54" s="6"/>
      <c r="F54" s="6"/>
      <c r="G54" s="6"/>
    </row>
    <row r="55" customFormat="false" ht="15" hidden="false" customHeight="false" outlineLevel="0" collapsed="false">
      <c r="A55" s="7" t="s">
        <v>349</v>
      </c>
      <c r="B55" s="53" t="n">
        <f aca="false">ROUNDUP('Prep List'!$D$27*Assumptions!$B$5/'Sides &amp; Ingredients'!$E$100,0)</f>
        <v>2</v>
      </c>
      <c r="C55" s="40" t="n">
        <f aca="false">B55*'Sides &amp; Ingredients'!$B$95</f>
        <v>2</v>
      </c>
      <c r="D55" s="7" t="s">
        <v>350</v>
      </c>
      <c r="E55" s="41" t="n">
        <f aca="false">C55*'Sides &amp; Ingredients'!$D$95</f>
        <v>29.46</v>
      </c>
      <c r="F55" s="7" t="s">
        <v>351</v>
      </c>
      <c r="G55" s="7" t="s">
        <v>751</v>
      </c>
    </row>
    <row r="56" customFormat="false" ht="15" hidden="false" customHeight="false" outlineLevel="0" collapsed="false">
      <c r="A56" s="7" t="s">
        <v>353</v>
      </c>
      <c r="B56" s="43" t="n">
        <f aca="false">B55</f>
        <v>2</v>
      </c>
      <c r="C56" s="40" t="n">
        <f aca="false">B56*'Sides &amp; Ingredients'!$B$96</f>
        <v>12</v>
      </c>
      <c r="D56" s="7" t="s">
        <v>244</v>
      </c>
      <c r="E56" s="41" t="n">
        <f aca="false">C56*'Sides &amp; Ingredients'!$D$96</f>
        <v>1.7796</v>
      </c>
      <c r="F56" s="7" t="s">
        <v>354</v>
      </c>
      <c r="G56" s="7" t="s">
        <v>751</v>
      </c>
    </row>
    <row r="57" customFormat="false" ht="15" hidden="false" customHeight="false" outlineLevel="0" collapsed="false">
      <c r="A57" s="7" t="s">
        <v>291</v>
      </c>
      <c r="B57" s="43" t="n">
        <f aca="false">B55</f>
        <v>2</v>
      </c>
      <c r="C57" s="40" t="n">
        <f aca="false">B57*'Sides &amp; Ingredients'!$B$97</f>
        <v>1</v>
      </c>
      <c r="D57" s="7" t="s">
        <v>292</v>
      </c>
      <c r="E57" s="41" t="n">
        <f aca="false">C57*'Sides &amp; Ingredients'!$D$97</f>
        <v>6.6025</v>
      </c>
      <c r="F57" s="7" t="s">
        <v>272</v>
      </c>
      <c r="G57" s="7" t="s">
        <v>751</v>
      </c>
    </row>
    <row r="58" customFormat="false" ht="15" hidden="false" customHeight="false" outlineLevel="0" collapsed="false">
      <c r="A58" s="7" t="s">
        <v>356</v>
      </c>
      <c r="B58" s="43" t="n">
        <f aca="false">B55</f>
        <v>2</v>
      </c>
      <c r="C58" s="40" t="n">
        <f aca="false">B58*'Sides &amp; Ingredients'!$B$98</f>
        <v>1</v>
      </c>
      <c r="D58" s="7" t="s">
        <v>128</v>
      </c>
      <c r="E58" s="41" t="n">
        <f aca="false">C58*'Sides &amp; Ingredients'!$D$98</f>
        <v>2.3339</v>
      </c>
      <c r="F58" s="7" t="s">
        <v>299</v>
      </c>
      <c r="G58" s="7" t="s">
        <v>751</v>
      </c>
    </row>
    <row r="59" customFormat="false" ht="15" hidden="false" customHeight="false" outlineLevel="0" collapsed="false">
      <c r="A59" s="5" t="s">
        <v>447</v>
      </c>
      <c r="B59" s="6"/>
      <c r="C59" s="6"/>
      <c r="D59" s="6"/>
      <c r="E59" s="6"/>
      <c r="F59" s="6"/>
      <c r="G59" s="6"/>
    </row>
    <row r="60" customFormat="false" ht="15" hidden="false" customHeight="false" outlineLevel="0" collapsed="false">
      <c r="A60" s="7" t="s">
        <v>298</v>
      </c>
      <c r="B60" s="53" t="n">
        <f aca="false">ROUNDUP('Prep List'!$D$28*Assumptions!$B$5/'Sides &amp; Ingredients'!$E$110,0)</f>
        <v>2</v>
      </c>
      <c r="C60" s="40" t="n">
        <f aca="false">B60*'Sides &amp; Ingredients'!$B$105</f>
        <v>2.5</v>
      </c>
      <c r="D60" s="7" t="s">
        <v>128</v>
      </c>
      <c r="E60" s="41" t="n">
        <f aca="false">C60*'Sides &amp; Ingredients'!$D$105</f>
        <v>5.83475</v>
      </c>
      <c r="F60" s="7" t="s">
        <v>299</v>
      </c>
      <c r="G60" s="7" t="s">
        <v>751</v>
      </c>
    </row>
    <row r="61" customFormat="false" ht="15" hidden="false" customHeight="false" outlineLevel="0" collapsed="false">
      <c r="A61" s="7" t="s">
        <v>360</v>
      </c>
      <c r="B61" s="43" t="n">
        <f aca="false">B60</f>
        <v>2</v>
      </c>
      <c r="C61" s="40" t="n">
        <f aca="false">B61*'Sides &amp; Ingredients'!$B$106</f>
        <v>1</v>
      </c>
      <c r="D61" s="7" t="s">
        <v>128</v>
      </c>
      <c r="E61" s="41" t="n">
        <f aca="false">C61*'Sides &amp; Ingredients'!$D$106</f>
        <v>1</v>
      </c>
      <c r="F61" s="7" t="s">
        <v>306</v>
      </c>
      <c r="G61" s="7" t="s">
        <v>753</v>
      </c>
    </row>
    <row r="62" customFormat="false" ht="15" hidden="false" customHeight="false" outlineLevel="0" collapsed="false">
      <c r="A62" s="7" t="s">
        <v>361</v>
      </c>
      <c r="B62" s="43" t="n">
        <f aca="false">B60</f>
        <v>2</v>
      </c>
      <c r="C62" s="40" t="n">
        <f aca="false">B62*'Sides &amp; Ingredients'!$B$107</f>
        <v>8</v>
      </c>
      <c r="D62" s="7" t="s">
        <v>271</v>
      </c>
      <c r="E62" s="41" t="n">
        <f aca="false">C62*'Sides &amp; Ingredients'!$D$107</f>
        <v>1.1696</v>
      </c>
      <c r="F62" s="7" t="s">
        <v>362</v>
      </c>
      <c r="G62" s="7" t="s">
        <v>751</v>
      </c>
    </row>
    <row r="63" customFormat="false" ht="15" hidden="false" customHeight="false" outlineLevel="0" collapsed="false">
      <c r="A63" s="7" t="s">
        <v>364</v>
      </c>
      <c r="B63" s="43" t="n">
        <f aca="false">B60</f>
        <v>2</v>
      </c>
      <c r="C63" s="40" t="n">
        <f aca="false">B63*'Sides &amp; Ingredients'!$B$108</f>
        <v>2</v>
      </c>
      <c r="D63" s="7" t="s">
        <v>277</v>
      </c>
      <c r="E63" s="41" t="n">
        <f aca="false">C63*'Sides &amp; Ingredients'!$D$108</f>
        <v>0.1</v>
      </c>
      <c r="F63" s="7"/>
      <c r="G63" s="7" t="s">
        <v>751</v>
      </c>
    </row>
    <row r="64" customFormat="false" ht="15" hidden="false" customHeight="false" outlineLevel="0" collapsed="false">
      <c r="A64" s="5" t="s">
        <v>760</v>
      </c>
      <c r="B64" s="6"/>
      <c r="C64" s="6"/>
      <c r="D64" s="6"/>
      <c r="E64" s="6"/>
      <c r="F64" s="6"/>
      <c r="G64" s="6"/>
    </row>
    <row r="65" customFormat="false" ht="15" hidden="false" customHeight="false" outlineLevel="0" collapsed="false">
      <c r="A65" s="7" t="s">
        <v>435</v>
      </c>
      <c r="C65" s="43" t="n">
        <f aca="false">ROUNDUP('Prep List'!$D$15*Assumptions!$B$5/20,0)</f>
        <v>36</v>
      </c>
      <c r="D65" s="7" t="s">
        <v>700</v>
      </c>
      <c r="E65" s="41" t="n">
        <f aca="false">C65*20*'Sides &amp; Ingredients'!$D$115</f>
        <v>201.096</v>
      </c>
      <c r="F65" s="7" t="s">
        <v>761</v>
      </c>
      <c r="G65" s="7" t="s">
        <v>762</v>
      </c>
    </row>
    <row r="66" customFormat="false" ht="15" hidden="false" customHeight="false" outlineLevel="0" collapsed="false">
      <c r="A66" s="7" t="s">
        <v>439</v>
      </c>
      <c r="C66" s="43" t="n">
        <f aca="false">ROUNDUP('Prep List'!$D$19*Assumptions!$B$5,0)</f>
        <v>259</v>
      </c>
      <c r="D66" s="7" t="s">
        <v>700</v>
      </c>
      <c r="E66" s="41" t="n">
        <f aca="false">C66*'Sides &amp; Ingredients'!$D$117</f>
        <v>121.73</v>
      </c>
      <c r="F66" s="7" t="s">
        <v>763</v>
      </c>
      <c r="G66" s="7" t="s">
        <v>764</v>
      </c>
    </row>
    <row r="67" customFormat="false" ht="15" hidden="false" customHeight="false" outlineLevel="0" collapsed="false">
      <c r="A67" s="7" t="s">
        <v>440</v>
      </c>
      <c r="C67" s="43" t="n">
        <f aca="false">ROUNDUP('Prep List'!$D$20*Assumptions!$B$5/16,0)</f>
        <v>25</v>
      </c>
      <c r="D67" s="7" t="s">
        <v>128</v>
      </c>
      <c r="E67" s="41" t="n">
        <f aca="false">C67*16*'Sides &amp; Ingredients'!$D$118</f>
        <v>113.24</v>
      </c>
      <c r="F67" s="7" t="s">
        <v>765</v>
      </c>
      <c r="G67" s="7" t="s">
        <v>751</v>
      </c>
    </row>
    <row r="68" customFormat="false" ht="15" hidden="false" customHeight="false" outlineLevel="0" collapsed="false">
      <c r="A68" s="7" t="s">
        <v>441</v>
      </c>
      <c r="C68" s="43" t="n">
        <f aca="false">ROUNDUP('Prep List'!$D$21*Assumptions!$B$5/16,0)</f>
        <v>18</v>
      </c>
      <c r="D68" s="7" t="s">
        <v>128</v>
      </c>
      <c r="E68" s="41" t="n">
        <f aca="false">C68*16*'Sides &amp; Ingredients'!$D$119</f>
        <v>80.8128</v>
      </c>
      <c r="F68" s="7" t="s">
        <v>289</v>
      </c>
      <c r="G68" s="7" t="s">
        <v>751</v>
      </c>
    </row>
    <row r="69" customFormat="false" ht="15" hidden="false" customHeight="false" outlineLevel="0" collapsed="false">
      <c r="A69" s="7" t="s">
        <v>442</v>
      </c>
      <c r="C69" s="43" t="n">
        <f aca="false">ROUNDUP('Prep List'!$D$22*Assumptions!$B$5/16,0)</f>
        <v>9</v>
      </c>
      <c r="D69" s="7" t="s">
        <v>128</v>
      </c>
      <c r="E69" s="41" t="n">
        <f aca="false">C69*16*'Sides &amp; Ingredients'!$D$120</f>
        <v>54</v>
      </c>
      <c r="F69" s="7" t="s">
        <v>289</v>
      </c>
      <c r="G69" s="7" t="s">
        <v>751</v>
      </c>
    </row>
    <row r="70" customFormat="false" ht="15" hidden="false" customHeight="false" outlineLevel="0" collapsed="false">
      <c r="A70" s="7" t="s">
        <v>298</v>
      </c>
      <c r="C70" s="43" t="n">
        <f aca="false">ROUNDUP('Prep List'!$D$25*Assumptions!$B$5/16,0)</f>
        <v>9</v>
      </c>
      <c r="D70" s="7" t="s">
        <v>128</v>
      </c>
      <c r="E70" s="41" t="n">
        <f aca="false">C70*16*'Sides &amp; Ingredients'!$D$121</f>
        <v>21.0096</v>
      </c>
      <c r="F70" s="7" t="s">
        <v>299</v>
      </c>
      <c r="G70" s="7" t="s">
        <v>751</v>
      </c>
    </row>
    <row r="71" customFormat="false" ht="15" hidden="false" customHeight="false" outlineLevel="0" collapsed="false">
      <c r="A71" s="7" t="s">
        <v>436</v>
      </c>
      <c r="C71" s="43" t="n">
        <f aca="false">ROUNDUP('Prep List'!$D$16*Assumptions!$B$5/80,0)</f>
        <v>3</v>
      </c>
      <c r="D71" s="7" t="s">
        <v>766</v>
      </c>
      <c r="E71" s="41" t="n">
        <f aca="false">C71*80*'Sides &amp; Ingredients'!$D$116</f>
        <v>32.808</v>
      </c>
      <c r="F71" s="7" t="s">
        <v>272</v>
      </c>
      <c r="G71" s="7" t="s">
        <v>751</v>
      </c>
    </row>
    <row r="72" customFormat="false" ht="15" hidden="false" customHeight="false" outlineLevel="0" collapsed="false">
      <c r="A72" s="7" t="s">
        <v>420</v>
      </c>
      <c r="C72" s="43" t="n">
        <f aca="false">ROUNDUP('Prep List'!$D$26*Assumptions!$B$5,0)</f>
        <v>220</v>
      </c>
      <c r="D72" s="7" t="s">
        <v>702</v>
      </c>
      <c r="E72" s="41" t="n">
        <f aca="false">C72*'Sides &amp; Ingredients'!$D$128</f>
        <v>115.324</v>
      </c>
      <c r="F72" s="7" t="s">
        <v>767</v>
      </c>
      <c r="G72" s="7" t="s">
        <v>768</v>
      </c>
    </row>
    <row r="73" customFormat="false" ht="15" hidden="false" customHeight="false" outlineLevel="0" collapsed="false">
      <c r="A73" s="5" t="s">
        <v>769</v>
      </c>
      <c r="B73" s="6"/>
      <c r="C73" s="6"/>
      <c r="D73" s="6"/>
      <c r="E73" s="6"/>
      <c r="F73" s="6"/>
      <c r="G73" s="6"/>
    </row>
    <row r="74" customFormat="false" ht="15" hidden="false" customHeight="false" outlineLevel="0" collapsed="false">
      <c r="A74" s="7" t="s">
        <v>770</v>
      </c>
      <c r="C74" s="43" t="n">
        <f aca="false">ROUNDUP(('Sales &amp; P&amp;L'!$C$5)*Assumptions!$B$5*(1+Assumptions!$B$48),0)</f>
        <v>77</v>
      </c>
      <c r="D74" s="7" t="s">
        <v>244</v>
      </c>
      <c r="E74" s="41" t="n">
        <f aca="false">C74*'Sides &amp; Ingredients'!$D$122</f>
        <v>179.102</v>
      </c>
      <c r="G74" s="7" t="s">
        <v>771</v>
      </c>
    </row>
    <row r="75" customFormat="false" ht="15" hidden="false" customHeight="false" outlineLevel="0" collapsed="false">
      <c r="A75" s="7" t="s">
        <v>772</v>
      </c>
      <c r="C75" s="43" t="n">
        <f aca="false">ROUNDUP(('Sales &amp; P&amp;L'!$C$6)*Assumptions!$B$5*(1+Assumptions!$B$48),0)</f>
        <v>17</v>
      </c>
      <c r="D75" s="7" t="s">
        <v>244</v>
      </c>
      <c r="E75" s="41" t="n">
        <f aca="false">C75*'Sides &amp; Ingredients'!$D$123</f>
        <v>65.586</v>
      </c>
      <c r="G75" s="7" t="s">
        <v>771</v>
      </c>
    </row>
    <row r="76" customFormat="false" ht="15" hidden="false" customHeight="false" outlineLevel="0" collapsed="false">
      <c r="A76" s="7" t="s">
        <v>773</v>
      </c>
      <c r="C76" s="43" t="n">
        <f aca="false">ROUNDUP(('Sales &amp; P&amp;L'!$C$7+'Sales &amp; P&amp;L'!$C$8)*Assumptions!$B$5*(1+Assumptions!$B$48),0)</f>
        <v>259</v>
      </c>
      <c r="D76" s="7" t="s">
        <v>244</v>
      </c>
      <c r="E76" s="41" t="n">
        <f aca="false">C76*'Sides &amp; Ingredients'!$D$124</f>
        <v>78.218</v>
      </c>
      <c r="G76" s="7" t="s">
        <v>771</v>
      </c>
    </row>
    <row r="77" customFormat="false" ht="15" hidden="false" customHeight="false" outlineLevel="0" collapsed="false">
      <c r="A77" s="7" t="s">
        <v>774</v>
      </c>
      <c r="C77" s="43" t="n">
        <f aca="false">ROUNDUP(('Sales &amp; P&amp;L'!$C$15+'Sales &amp; P&amp;L'!$C$16+'Sales &amp; P&amp;L'!$C$17)*Assumptions!$B$5*(1+Assumptions!$B$48),0)</f>
        <v>110</v>
      </c>
      <c r="D77" s="7" t="s">
        <v>244</v>
      </c>
      <c r="E77" s="41" t="n">
        <f aca="false">C77*'Sides &amp; Ingredients'!$D$125</f>
        <v>27.83</v>
      </c>
      <c r="G77" s="7" t="s">
        <v>771</v>
      </c>
    </row>
    <row r="78" customFormat="false" ht="15" hidden="false" customHeight="false" outlineLevel="0" collapsed="false">
      <c r="A78" s="7" t="s">
        <v>775</v>
      </c>
      <c r="C78" s="43" t="n">
        <f aca="false">ROUNDUP(('Sales &amp; P&amp;L'!$C$18)*Assumptions!$B$5*(1+Assumptions!$B$48),0)</f>
        <v>66</v>
      </c>
      <c r="D78" s="7" t="s">
        <v>244</v>
      </c>
      <c r="E78" s="41" t="n">
        <f aca="false">C78*'Sides &amp; Ingredients'!$D$126</f>
        <v>19.998</v>
      </c>
      <c r="G78" s="7" t="s">
        <v>771</v>
      </c>
    </row>
    <row r="79" customFormat="false" ht="15" hidden="false" customHeight="false" outlineLevel="0" collapsed="false">
      <c r="A79" s="7" t="s">
        <v>776</v>
      </c>
      <c r="C79" s="43" t="n">
        <f aca="false">ROUNDUP(('Sales &amp; P&amp;L'!$C$9+'Sales &amp; P&amp;L'!$C$10+'Sales &amp; P&amp;L'!$C$11+'Sales &amp; P&amp;L'!$C$12)*Assumptions!$B$5*(1+Assumptions!$B$48),0)</f>
        <v>66</v>
      </c>
      <c r="D79" s="7" t="s">
        <v>244</v>
      </c>
      <c r="E79" s="41" t="n">
        <f aca="false">C79*'Sides &amp; Ingredients'!$D$127</f>
        <v>128.304</v>
      </c>
      <c r="G79" s="7" t="s">
        <v>771</v>
      </c>
    </row>
    <row r="80" customFormat="false" ht="15" hidden="false" customHeight="false" outlineLevel="0" collapsed="false">
      <c r="A80" s="7" t="s">
        <v>777</v>
      </c>
      <c r="C80" s="43" t="n">
        <f aca="false">ROUNDUP(('Sales &amp; P&amp;L'!$C$21)*Assumptions!$B$5*(1+Assumptions!$B$48),0)</f>
        <v>5</v>
      </c>
      <c r="D80" s="7" t="s">
        <v>244</v>
      </c>
      <c r="E80" s="41" t="n">
        <f aca="false">C80*'Sides &amp; Ingredients'!$D$129</f>
        <v>55.08</v>
      </c>
      <c r="G80" s="7" t="s">
        <v>771</v>
      </c>
    </row>
    <row r="81" customFormat="false" ht="15" hidden="false" customHeight="false" outlineLevel="0" collapsed="false">
      <c r="A81" s="7" t="s">
        <v>778</v>
      </c>
      <c r="C81" s="43" t="n">
        <f aca="false">ROUNDUP(('Sales &amp; P&amp;L'!$C$22)*Assumptions!$B$5*(1+Assumptions!$B$48),0)</f>
        <v>3</v>
      </c>
      <c r="D81" s="7" t="s">
        <v>244</v>
      </c>
      <c r="E81" s="41" t="n">
        <f aca="false">C81*'Sides &amp; Ingredients'!$D$130</f>
        <v>59.214</v>
      </c>
      <c r="G81" s="7" t="s">
        <v>771</v>
      </c>
    </row>
    <row r="82" customFormat="false" ht="15" hidden="false" customHeight="false" outlineLevel="0" collapsed="false">
      <c r="A82" s="7" t="s">
        <v>779</v>
      </c>
      <c r="C82" s="43" t="n">
        <f aca="false">ROUNDUP(('Sales &amp; P&amp;L'!$C$23)*Assumptions!$B$5*(1+Assumptions!$B$48),0)</f>
        <v>2</v>
      </c>
      <c r="D82" s="7" t="s">
        <v>244</v>
      </c>
      <c r="E82" s="41" t="n">
        <f aca="false">C82*'Sides &amp; Ingredients'!$D$131</f>
        <v>51.994</v>
      </c>
      <c r="G82" s="7" t="s">
        <v>771</v>
      </c>
    </row>
    <row r="83" customFormat="false" ht="15" hidden="false" customHeight="false" outlineLevel="0" collapsed="false">
      <c r="A83" s="7" t="s">
        <v>780</v>
      </c>
      <c r="C83" s="43" t="n">
        <f aca="false">ROUNDUP(('Sales &amp; P&amp;L'!$C$24)*Assumptions!$B$5*(1+Assumptions!$B$48),0)</f>
        <v>1</v>
      </c>
      <c r="D83" s="7" t="s">
        <v>244</v>
      </c>
      <c r="E83" s="41" t="n">
        <f aca="false">C83*'Sides &amp; Ingredients'!$D$132</f>
        <v>42.347</v>
      </c>
      <c r="G83" s="7" t="s">
        <v>771</v>
      </c>
    </row>
    <row r="85" customFormat="false" ht="15" hidden="false" customHeight="false" outlineLevel="0" collapsed="false">
      <c r="A85" s="31" t="s">
        <v>781</v>
      </c>
      <c r="E85" s="42" t="n">
        <f aca="false">SUM(E5:E83)</f>
        <v>2921.73485</v>
      </c>
    </row>
    <row r="86" customFormat="false" ht="15" hidden="false" customHeight="false" outlineLevel="0" collapsed="false">
      <c r="A86" s="3" t="s">
        <v>782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44"/>
    <col collapsed="false" customWidth="true" hidden="false" outlineLevel="0" max="5" min="4" style="0" width="18"/>
    <col collapsed="false" customWidth="true" hidden="false" outlineLevel="0" max="6" min="6" style="0" width="30"/>
  </cols>
  <sheetData>
    <row r="1" customFormat="false" ht="17.35" hidden="false" customHeight="false" outlineLevel="0" collapsed="false">
      <c r="A1" s="1" t="s">
        <v>783</v>
      </c>
      <c r="B1" s="2"/>
      <c r="C1" s="2"/>
      <c r="D1" s="2"/>
      <c r="E1" s="2"/>
      <c r="F1" s="2"/>
    </row>
    <row r="2" customFormat="false" ht="15" hidden="false" customHeight="false" outlineLevel="0" collapsed="false">
      <c r="A2" s="3" t="s">
        <v>784</v>
      </c>
    </row>
    <row r="4" customFormat="false" ht="26.85" hidden="false" customHeight="false" outlineLevel="0" collapsed="false">
      <c r="A4" s="4" t="s">
        <v>785</v>
      </c>
      <c r="B4" s="4" t="s">
        <v>786</v>
      </c>
      <c r="C4" s="4" t="s">
        <v>787</v>
      </c>
      <c r="D4" s="4" t="s">
        <v>788</v>
      </c>
      <c r="E4" s="4" t="s">
        <v>789</v>
      </c>
      <c r="F4" s="4" t="s">
        <v>790</v>
      </c>
    </row>
    <row r="5" customFormat="false" ht="39.55" hidden="false" customHeight="false" outlineLevel="0" collapsed="false">
      <c r="A5" s="54" t="s">
        <v>791</v>
      </c>
      <c r="B5" s="55" t="s">
        <v>792</v>
      </c>
      <c r="C5" s="55" t="s">
        <v>793</v>
      </c>
      <c r="D5" s="56"/>
      <c r="E5" s="56"/>
      <c r="F5" s="57" t="s">
        <v>794</v>
      </c>
    </row>
    <row r="6" customFormat="false" ht="26.85" hidden="false" customHeight="false" outlineLevel="0" collapsed="false">
      <c r="A6" s="54" t="s">
        <v>795</v>
      </c>
      <c r="B6" s="55" t="s">
        <v>796</v>
      </c>
      <c r="C6" s="55" t="s">
        <v>797</v>
      </c>
      <c r="D6" s="56"/>
      <c r="E6" s="56"/>
      <c r="F6" s="57"/>
    </row>
    <row r="7" customFormat="false" ht="15" hidden="false" customHeight="false" outlineLevel="0" collapsed="false">
      <c r="A7" s="54" t="s">
        <v>798</v>
      </c>
      <c r="B7" s="55" t="s">
        <v>799</v>
      </c>
      <c r="C7" s="55" t="s">
        <v>797</v>
      </c>
      <c r="D7" s="56"/>
      <c r="E7" s="56"/>
      <c r="F7" s="57"/>
    </row>
    <row r="8" customFormat="false" ht="26.85" hidden="false" customHeight="false" outlineLevel="0" collapsed="false">
      <c r="A8" s="54" t="s">
        <v>800</v>
      </c>
      <c r="B8" s="55" t="s">
        <v>801</v>
      </c>
      <c r="C8" s="55" t="s">
        <v>802</v>
      </c>
      <c r="D8" s="58" t="n">
        <f aca="false">ROUNDUP('Order Guide'!$H$5/Assumptions!$B$46,0)</f>
        <v>15</v>
      </c>
      <c r="E8" s="56"/>
      <c r="F8" s="57" t="s">
        <v>803</v>
      </c>
    </row>
    <row r="9" customFormat="false" ht="39.55" hidden="false" customHeight="false" outlineLevel="0" collapsed="false">
      <c r="A9" s="54" t="s">
        <v>804</v>
      </c>
      <c r="B9" s="55" t="s">
        <v>805</v>
      </c>
      <c r="C9" s="55" t="s">
        <v>806</v>
      </c>
      <c r="D9" s="56"/>
      <c r="E9" s="58" t="n">
        <f aca="false">ROUNDUP('Order Guide'!$H$6/Assumptions!$B$47,0)</f>
        <v>22</v>
      </c>
      <c r="F9" s="57"/>
    </row>
    <row r="10" customFormat="false" ht="39.55" hidden="false" customHeight="false" outlineLevel="0" collapsed="false">
      <c r="A10" s="54" t="s">
        <v>807</v>
      </c>
      <c r="B10" s="55" t="s">
        <v>808</v>
      </c>
      <c r="C10" s="55" t="s">
        <v>809</v>
      </c>
      <c r="D10" s="56"/>
      <c r="E10" s="56"/>
      <c r="F10" s="57" t="s">
        <v>810</v>
      </c>
    </row>
    <row r="11" customFormat="false" ht="26.85" hidden="false" customHeight="false" outlineLevel="0" collapsed="false">
      <c r="A11" s="54" t="s">
        <v>811</v>
      </c>
      <c r="B11" s="55" t="s">
        <v>812</v>
      </c>
      <c r="C11" s="55" t="s">
        <v>797</v>
      </c>
      <c r="D11" s="56"/>
      <c r="E11" s="56"/>
      <c r="F11" s="57"/>
    </row>
    <row r="13" customFormat="false" ht="15" hidden="false" customHeight="false" outlineLevel="0" collapsed="false">
      <c r="A13" s="3" t="s">
        <v>813</v>
      </c>
    </row>
    <row r="14" customFormat="false" ht="15" hidden="false" customHeight="false" outlineLevel="0" collapsed="false">
      <c r="A14" s="3" t="s">
        <v>814</v>
      </c>
    </row>
    <row r="15" customFormat="false" ht="15" hidden="false" customHeight="false" outlineLevel="0" collapsed="false">
      <c r="A15" s="3" t="s">
        <v>815</v>
      </c>
    </row>
    <row r="16" customFormat="false" ht="15" hidden="false" customHeight="false" outlineLevel="0" collapsed="false">
      <c r="A16" s="3"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3" min="3" style="0" width="12"/>
    <col collapsed="false" customWidth="true" hidden="false" outlineLevel="0" max="6" min="4" style="0" width="13"/>
    <col collapsed="false" customWidth="true" hidden="false" outlineLevel="0" max="8" min="7" style="0" width="14"/>
    <col collapsed="false" customWidth="true" hidden="false" outlineLevel="0" max="9" min="9" style="0" width="15"/>
    <col collapsed="false" customWidth="true" hidden="false" outlineLevel="0" max="10" min="10" style="0" width="12"/>
  </cols>
  <sheetData>
    <row r="1" customFormat="false" ht="17.35" hidden="false" customHeight="false" outlineLevel="0" collapsed="false">
      <c r="A1" s="1" t="s">
        <v>817</v>
      </c>
      <c r="B1" s="2"/>
      <c r="C1" s="2"/>
      <c r="D1" s="2"/>
      <c r="E1" s="2"/>
      <c r="F1" s="2"/>
      <c r="G1" s="2"/>
      <c r="H1" s="2"/>
      <c r="I1" s="2"/>
      <c r="J1" s="2"/>
    </row>
    <row r="2" customFormat="false" ht="15" hidden="false" customHeight="false" outlineLevel="0" collapsed="false">
      <c r="A2" s="3" t="s">
        <v>818</v>
      </c>
    </row>
    <row r="4" customFormat="false" ht="43.5" hidden="false" customHeight="true" outlineLevel="0" collapsed="false">
      <c r="A4" s="4" t="s">
        <v>226</v>
      </c>
      <c r="B4" s="4" t="s">
        <v>819</v>
      </c>
      <c r="C4" s="4" t="s">
        <v>820</v>
      </c>
      <c r="D4" s="4" t="s">
        <v>821</v>
      </c>
      <c r="E4" s="4" t="s">
        <v>822</v>
      </c>
      <c r="F4" s="4" t="s">
        <v>823</v>
      </c>
      <c r="G4" s="4" t="s">
        <v>824</v>
      </c>
      <c r="H4" s="4" t="s">
        <v>825</v>
      </c>
      <c r="I4" s="4" t="s">
        <v>826</v>
      </c>
      <c r="J4" s="4" t="s">
        <v>827</v>
      </c>
    </row>
    <row r="5" customFormat="false" ht="15" hidden="false" customHeight="false" outlineLevel="0" collapsed="false">
      <c r="A5" s="7" t="s">
        <v>828</v>
      </c>
      <c r="B5" s="7" t="s">
        <v>829</v>
      </c>
      <c r="C5" s="38" t="n">
        <f aca="false">Assumptions!$B$31</f>
        <v>5.72</v>
      </c>
      <c r="D5" s="38" t="n">
        <f aca="false">Assumptions!$B$25</f>
        <v>4.92</v>
      </c>
      <c r="E5" s="47" t="n">
        <f aca="false">C5/D5-1</f>
        <v>0.16260162601626</v>
      </c>
      <c r="F5" s="29" t="n">
        <f aca="false">C5*(1-Assumptions!$B$37)</f>
        <v>4.862</v>
      </c>
      <c r="G5" s="10" t="n">
        <f aca="false">'Order Guide'!$H$5</f>
        <v>200.2</v>
      </c>
      <c r="H5" s="41" t="n">
        <f aca="false">C5*G5*52</f>
        <v>59547.488</v>
      </c>
      <c r="I5" s="44" t="n">
        <f aca="false">(C5-F5)*G5*52</f>
        <v>8932.1232</v>
      </c>
      <c r="J5" s="47" t="n">
        <f aca="false">IF(H5=0,0,I5/H5)</f>
        <v>0.15</v>
      </c>
    </row>
    <row r="6" customFormat="false" ht="15" hidden="false" customHeight="false" outlineLevel="0" collapsed="false">
      <c r="A6" s="7" t="s">
        <v>830</v>
      </c>
      <c r="B6" s="7" t="s">
        <v>831</v>
      </c>
      <c r="C6" s="38" t="n">
        <f aca="false">Assumptions!$B$32</f>
        <v>2.07</v>
      </c>
      <c r="D6" s="38" t="n">
        <f aca="false">Assumptions!$B$26</f>
        <v>1.23</v>
      </c>
      <c r="E6" s="47" t="n">
        <f aca="false">C6/D6-1</f>
        <v>0.682926829268293</v>
      </c>
      <c r="F6" s="29" t="n">
        <f aca="false">C6*(1-Assumptions!$B$37)</f>
        <v>1.7595</v>
      </c>
      <c r="G6" s="10" t="n">
        <f aca="false">'Order Guide'!$H$6</f>
        <v>194.375</v>
      </c>
      <c r="H6" s="41" t="n">
        <f aca="false">C6*G6*52</f>
        <v>20922.525</v>
      </c>
      <c r="I6" s="44" t="n">
        <f aca="false">(C6-F6)*G6*52</f>
        <v>3138.37875</v>
      </c>
      <c r="J6" s="47" t="n">
        <f aca="false">IF(H6=0,0,I6/H6)</f>
        <v>0.15</v>
      </c>
    </row>
    <row r="7" customFormat="false" ht="15" hidden="false" customHeight="false" outlineLevel="0" collapsed="false">
      <c r="A7" s="7" t="s">
        <v>832</v>
      </c>
      <c r="B7" s="7" t="s">
        <v>829</v>
      </c>
      <c r="C7" s="38" t="n">
        <f aca="false">Assumptions!$B$34</f>
        <v>4.21</v>
      </c>
      <c r="D7" s="38" t="n">
        <f aca="false">Assumptions!$B$28</f>
        <v>2.38</v>
      </c>
      <c r="E7" s="47" t="n">
        <f aca="false">C7/D7-1</f>
        <v>0.76890756302521</v>
      </c>
      <c r="F7" s="29" t="n">
        <f aca="false">C7*(1-Assumptions!$B$37)</f>
        <v>3.5785</v>
      </c>
      <c r="G7" s="10" t="n">
        <f aca="false">'Order Guide'!$H$7</f>
        <v>18.3333333333333</v>
      </c>
      <c r="H7" s="41" t="n">
        <f aca="false">C7*G7*52</f>
        <v>4013.53333333333</v>
      </c>
      <c r="I7" s="44" t="n">
        <f aca="false">(C7-F7)*G7*52</f>
        <v>602.03</v>
      </c>
      <c r="J7" s="47" t="n">
        <f aca="false">IF(H7=0,0,I7/H7)</f>
        <v>0.15</v>
      </c>
    </row>
    <row r="8" customFormat="false" ht="15" hidden="false" customHeight="false" outlineLevel="0" collapsed="false">
      <c r="A8" s="7" t="s">
        <v>241</v>
      </c>
      <c r="B8" s="7" t="s">
        <v>833</v>
      </c>
      <c r="C8" s="38" t="n">
        <f aca="false">Assumptions!$B$33</f>
        <v>2.89</v>
      </c>
      <c r="D8" s="38" t="n">
        <f aca="false">Assumptions!$B$27</f>
        <v>1.69</v>
      </c>
      <c r="E8" s="47" t="n">
        <f aca="false">C8/D8-1</f>
        <v>0.710059171597633</v>
      </c>
      <c r="F8" s="29" t="n">
        <f aca="false">C8*(1-Assumptions!$B$37)</f>
        <v>2.4565</v>
      </c>
      <c r="G8" s="10" t="n">
        <f aca="false">'Order Guide'!$H$8</f>
        <v>137.316666666667</v>
      </c>
      <c r="H8" s="41" t="n">
        <f aca="false">C8*G8*52</f>
        <v>20635.9486666667</v>
      </c>
      <c r="I8" s="44" t="n">
        <f aca="false">(C8-F8)*G8*52</f>
        <v>3095.3923</v>
      </c>
      <c r="J8" s="47" t="n">
        <f aca="false">IF(H8=0,0,I8/H8)</f>
        <v>0.15</v>
      </c>
    </row>
    <row r="9" customFormat="false" ht="15" hidden="false" customHeight="false" outlineLevel="0" collapsed="false">
      <c r="A9" s="7" t="s">
        <v>740</v>
      </c>
      <c r="B9" s="7" t="s">
        <v>831</v>
      </c>
      <c r="C9" s="38" t="n">
        <f aca="false">Assumptions!$B$35</f>
        <v>0.81</v>
      </c>
      <c r="D9" s="38" t="n">
        <f aca="false">Assumptions!$B$29</f>
        <v>0.529</v>
      </c>
      <c r="E9" s="47" t="n">
        <f aca="false">C9/D9-1</f>
        <v>0.531190926275992</v>
      </c>
      <c r="F9" s="29" t="n">
        <f aca="false">C9*(1-Assumptions!$B$37)</f>
        <v>0.6885</v>
      </c>
      <c r="G9" s="10" t="n">
        <f aca="false">'Order Guide'!$H$9</f>
        <v>132.4125</v>
      </c>
      <c r="H9" s="41" t="n">
        <f aca="false">C9*G9*52</f>
        <v>5577.2145</v>
      </c>
      <c r="I9" s="44" t="n">
        <f aca="false">(C9-F9)*G9*52</f>
        <v>836.582175</v>
      </c>
      <c r="J9" s="47" t="n">
        <f aca="false">IF(H9=0,0,I9/H9)</f>
        <v>0.15</v>
      </c>
    </row>
    <row r="10" customFormat="false" ht="15" hidden="false" customHeight="false" outlineLevel="0" collapsed="false">
      <c r="A10" s="7" t="s">
        <v>246</v>
      </c>
      <c r="B10" s="7" t="s">
        <v>831</v>
      </c>
      <c r="C10" s="38" t="n">
        <f aca="false">Assumptions!$B$36</f>
        <v>5.89</v>
      </c>
      <c r="D10" s="7" t="s">
        <v>248</v>
      </c>
      <c r="E10" s="7" t="s">
        <v>248</v>
      </c>
      <c r="F10" s="29" t="n">
        <f aca="false">C10*(1-Assumptions!$B$37)</f>
        <v>5.0065</v>
      </c>
      <c r="G10" s="10" t="n">
        <f aca="false">'Order Guide'!$H$10</f>
        <v>50.6</v>
      </c>
      <c r="H10" s="41" t="n">
        <f aca="false">C10*G10*52</f>
        <v>15497.768</v>
      </c>
      <c r="I10" s="44" t="n">
        <f aca="false">(C10-F10)*G10*52</f>
        <v>2324.6652</v>
      </c>
      <c r="J10" s="47" t="n">
        <f aca="false">IF(H10=0,0,I10/H10)</f>
        <v>0.15</v>
      </c>
    </row>
    <row r="11" customFormat="false" ht="15" hidden="false" customHeight="false" outlineLevel="0" collapsed="false">
      <c r="A11" s="31" t="s">
        <v>834</v>
      </c>
      <c r="G11" s="52" t="n">
        <f aca="false">SUM(G5:G10)</f>
        <v>733.2375</v>
      </c>
      <c r="H11" s="42" t="n">
        <f aca="false">SUM(H5:H10)</f>
        <v>126194.4775</v>
      </c>
      <c r="I11" s="42" t="n">
        <f aca="false">SUM(I5:I10)</f>
        <v>18929.171625</v>
      </c>
      <c r="J11" s="59" t="n">
        <f aca="false">IF(H11=0,0,I11/H11)</f>
        <v>0.15</v>
      </c>
    </row>
    <row r="13" customFormat="false" ht="15" hidden="false" customHeight="false" outlineLevel="0" collapsed="false">
      <c r="A13" s="5" t="s">
        <v>835</v>
      </c>
      <c r="B13" s="6"/>
      <c r="C13" s="6"/>
      <c r="D13" s="6"/>
      <c r="E13" s="6"/>
      <c r="F13" s="6"/>
      <c r="G13" s="6"/>
      <c r="H13" s="6"/>
      <c r="I13" s="6"/>
      <c r="J13" s="6"/>
    </row>
    <row r="14" customFormat="false" ht="15" hidden="false" customHeight="false" outlineLevel="0" collapsed="false">
      <c r="A14" s="7" t="s">
        <v>836</v>
      </c>
      <c r="G14" s="20" t="n">
        <v>3</v>
      </c>
      <c r="H14" s="3" t="s">
        <v>837</v>
      </c>
    </row>
    <row r="15" customFormat="false" ht="15" hidden="false" customHeight="false" outlineLevel="0" collapsed="false">
      <c r="A15" s="31" t="s">
        <v>838</v>
      </c>
      <c r="I15" s="60" t="n">
        <f aca="false">I11*G14</f>
        <v>56787.514875</v>
      </c>
    </row>
    <row r="17" customFormat="false" ht="15" hidden="false" customHeight="false" outlineLevel="0" collapsed="false">
      <c r="A17" s="5" t="s">
        <v>839</v>
      </c>
      <c r="B17" s="6"/>
      <c r="C17" s="6"/>
      <c r="D17" s="6"/>
      <c r="E17" s="6"/>
      <c r="F17" s="6"/>
      <c r="G17" s="6"/>
      <c r="H17" s="6"/>
      <c r="I17" s="6"/>
      <c r="J17" s="6"/>
    </row>
    <row r="18" customFormat="false" ht="26.85" hidden="false" customHeight="false" outlineLevel="0" collapsed="false">
      <c r="A18" s="4" t="s">
        <v>840</v>
      </c>
      <c r="B18" s="4" t="s">
        <v>841</v>
      </c>
      <c r="C18" s="4" t="s">
        <v>842</v>
      </c>
    </row>
    <row r="19" customFormat="false" ht="15" hidden="false" customHeight="false" outlineLevel="0" collapsed="false">
      <c r="A19" s="24" t="n">
        <v>0.1</v>
      </c>
      <c r="B19" s="41" t="n">
        <f aca="false">H11*A19</f>
        <v>12619.44775</v>
      </c>
      <c r="C19" s="41" t="n">
        <f aca="false">B19*$G$14</f>
        <v>37858.34325</v>
      </c>
    </row>
    <row r="20" customFormat="false" ht="15" hidden="false" customHeight="false" outlineLevel="0" collapsed="false">
      <c r="A20" s="24" t="n">
        <v>0.15</v>
      </c>
      <c r="B20" s="41" t="n">
        <f aca="false">H11*A20</f>
        <v>18929.171625</v>
      </c>
      <c r="C20" s="41" t="n">
        <f aca="false">B20*$G$14</f>
        <v>56787.514875</v>
      </c>
    </row>
    <row r="21" customFormat="false" ht="15" hidden="false" customHeight="false" outlineLevel="0" collapsed="false">
      <c r="A21" s="24" t="n">
        <v>0.2</v>
      </c>
      <c r="B21" s="41" t="n">
        <f aca="false">H11*A21</f>
        <v>25238.8955</v>
      </c>
      <c r="C21" s="41" t="n">
        <f aca="false">B21*$G$14</f>
        <v>75716.6865</v>
      </c>
    </row>
    <row r="22" customFormat="false" ht="15" hidden="false" customHeight="false" outlineLevel="0" collapsed="false">
      <c r="A22" s="24" t="n">
        <v>0.3</v>
      </c>
      <c r="B22" s="41" t="n">
        <f aca="false">H11*A22</f>
        <v>37858.34325</v>
      </c>
      <c r="C22" s="41" t="n">
        <f aca="false">B22*$G$14</f>
        <v>113575.02975</v>
      </c>
    </row>
    <row r="24" customFormat="false" ht="15" hidden="false" customHeight="false" outlineLevel="0" collapsed="false">
      <c r="A24" s="3" t="s">
        <v>843</v>
      </c>
    </row>
    <row r="25" customFormat="false" ht="15" hidden="false" customHeight="false" outlineLevel="0" collapsed="false">
      <c r="A25" s="3" t="s">
        <v>844</v>
      </c>
    </row>
    <row r="26" customFormat="false" ht="15" hidden="false" customHeight="false" outlineLevel="0" collapsed="false">
      <c r="A26" s="3" t="s">
        <v>845</v>
      </c>
    </row>
    <row r="27" customFormat="false" ht="15" hidden="false" customHeight="false" outlineLevel="0" collapsed="false">
      <c r="A27" s="3" t="s">
        <v>846</v>
      </c>
    </row>
    <row r="28" customFormat="false" ht="15" hidden="false" customHeight="false" outlineLevel="0" collapsed="false">
      <c r="A28" s="3" t="s">
        <v>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4"/>
    <col collapsed="false" customWidth="true" hidden="false" outlineLevel="0" max="5" min="5" style="0" width="60"/>
  </cols>
  <sheetData>
    <row r="1" customFormat="false" ht="17.35" hidden="false" customHeight="false" outlineLevel="0" collapsed="false">
      <c r="A1" s="1" t="s">
        <v>848</v>
      </c>
      <c r="B1" s="2"/>
      <c r="C1" s="2"/>
      <c r="D1" s="2"/>
      <c r="E1" s="2"/>
    </row>
    <row r="2" customFormat="false" ht="15" hidden="false" customHeight="false" outlineLevel="0" collapsed="false">
      <c r="A2" s="3" t="s">
        <v>849</v>
      </c>
    </row>
    <row r="4" customFormat="false" ht="15" hidden="false" customHeight="false" outlineLevel="0" collapsed="false">
      <c r="A4" s="4"/>
      <c r="B4" s="4" t="s">
        <v>850</v>
      </c>
      <c r="C4" s="4" t="s">
        <v>851</v>
      </c>
      <c r="D4" s="4"/>
      <c r="E4" s="4" t="s">
        <v>852</v>
      </c>
    </row>
    <row r="5" customFormat="false" ht="15" hidden="false" customHeight="false" outlineLevel="0" collapsed="false">
      <c r="A5" s="5" t="s">
        <v>853</v>
      </c>
      <c r="B5" s="6"/>
      <c r="C5" s="6"/>
      <c r="D5" s="6"/>
      <c r="E5" s="6"/>
    </row>
    <row r="6" customFormat="false" ht="15" hidden="false" customHeight="false" outlineLevel="0" collapsed="false">
      <c r="A6" s="7" t="s">
        <v>854</v>
      </c>
      <c r="B6" s="40" t="n">
        <f aca="false">'Order Guide'!$H$11</f>
        <v>733.2375</v>
      </c>
      <c r="E6" s="3" t="s">
        <v>855</v>
      </c>
    </row>
    <row r="8" customFormat="false" ht="15" hidden="false" customHeight="false" outlineLevel="0" collapsed="false">
      <c r="A8" s="5" t="s">
        <v>487</v>
      </c>
      <c r="B8" s="6"/>
      <c r="C8" s="6"/>
      <c r="D8" s="6"/>
      <c r="E8" s="6"/>
    </row>
    <row r="9" customFormat="false" ht="15" hidden="false" customHeight="false" outlineLevel="0" collapsed="false">
      <c r="A9" s="31" t="s">
        <v>856</v>
      </c>
      <c r="B9" s="44" t="n">
        <f aca="false">'Order Guide'!$G$11</f>
        <v>3943.84484375</v>
      </c>
      <c r="C9" s="44" t="n">
        <f aca="false">B9*Assumptions!$B$6</f>
        <v>17076.8481734375</v>
      </c>
      <c r="E9" s="3"/>
    </row>
    <row r="11" customFormat="false" ht="15" hidden="false" customHeight="false" outlineLevel="0" collapsed="false">
      <c r="A11" s="5" t="s">
        <v>857</v>
      </c>
      <c r="B11" s="6"/>
      <c r="C11" s="6"/>
      <c r="D11" s="6"/>
      <c r="E11" s="6"/>
    </row>
    <row r="12" customFormat="false" ht="15" hidden="false" customHeight="false" outlineLevel="0" collapsed="false">
      <c r="A12" s="7" t="s">
        <v>858</v>
      </c>
      <c r="B12" s="41" t="n">
        <f aca="false">'Order Guide'!$H$5*'Meat Cost &amp; Transfer'!$D$5+'Order Guide'!$H$6*'Meat Cost &amp; Transfer'!$D$6+'Order Guide'!$H$7*'Meat Cost &amp; Transfer'!$D$7+'Order Guide'!$H$8*'Meat Cost &amp; Transfer'!$D$8+'Order Guide'!$H$9*'Meat Cost &amp; Transfer'!$D$9+'Order Guide'!$H$10*'Meat Cost &amp; Transfer'!$D$10</f>
        <v>2426.816875</v>
      </c>
      <c r="C12" s="41" t="n">
        <f aca="false">B12*Assumptions!$B$6</f>
        <v>10508.11706875</v>
      </c>
      <c r="E12" s="3" t="s">
        <v>859</v>
      </c>
    </row>
    <row r="13" customFormat="false" ht="15" hidden="false" customHeight="false" outlineLevel="0" collapsed="false">
      <c r="A13" s="7" t="s">
        <v>860</v>
      </c>
      <c r="B13" s="41" t="n">
        <f aca="false">Assumptions!$B$13*Assumptions!$B$14*(1+Assumptions!$B$73)</f>
        <v>399.6</v>
      </c>
      <c r="C13" s="41" t="n">
        <f aca="false">B13*Assumptions!$B$6</f>
        <v>1730.268</v>
      </c>
      <c r="E13" s="3" t="s">
        <v>861</v>
      </c>
    </row>
    <row r="14" customFormat="false" ht="15" hidden="false" customHeight="false" outlineLevel="0" collapsed="false">
      <c r="A14" s="7" t="s">
        <v>862</v>
      </c>
      <c r="B14" s="41" t="n">
        <f aca="false">Assumptions!$B$15*Assumptions!$B$16*Assumptions!$B$17</f>
        <v>180</v>
      </c>
      <c r="C14" s="41" t="n">
        <f aca="false">B14*Assumptions!$B$6</f>
        <v>779.4</v>
      </c>
      <c r="E14" s="3" t="s">
        <v>863</v>
      </c>
    </row>
    <row r="15" customFormat="false" ht="15" hidden="false" customHeight="false" outlineLevel="0" collapsed="false">
      <c r="A15" s="7" t="s">
        <v>864</v>
      </c>
      <c r="B15" s="41" t="n">
        <f aca="false">B6*Assumptions!$B$18</f>
        <v>58.659</v>
      </c>
      <c r="C15" s="41" t="n">
        <f aca="false">B15*Assumptions!$B$6</f>
        <v>253.99347</v>
      </c>
      <c r="E15" s="3"/>
    </row>
    <row r="16" customFormat="false" ht="15" hidden="false" customHeight="false" outlineLevel="0" collapsed="false">
      <c r="A16" s="7" t="s">
        <v>865</v>
      </c>
      <c r="B16" s="41" t="n">
        <f aca="false">Assumptions!$B$19*Assumptions!$B$20</f>
        <v>90</v>
      </c>
      <c r="C16" s="41" t="n">
        <f aca="false">B16*Assumptions!$B$6</f>
        <v>389.7</v>
      </c>
      <c r="E16" s="3"/>
    </row>
    <row r="17" customFormat="false" ht="15" hidden="false" customHeight="false" outlineLevel="0" collapsed="false">
      <c r="A17" s="7" t="s">
        <v>866</v>
      </c>
      <c r="B17" s="41" t="n">
        <f aca="false">Assumptions!$B$21*Assumptions!$B$22/Assumptions!$B$6</f>
        <v>0</v>
      </c>
      <c r="C17" s="41" t="n">
        <f aca="false">B17*Assumptions!$B$6</f>
        <v>0</v>
      </c>
      <c r="E17" s="3" t="s">
        <v>867</v>
      </c>
    </row>
    <row r="18" customFormat="false" ht="15" hidden="false" customHeight="false" outlineLevel="0" collapsed="false">
      <c r="A18" s="31" t="s">
        <v>868</v>
      </c>
      <c r="B18" s="44" t="n">
        <f aca="false">SUM(B13:B17)</f>
        <v>728.259</v>
      </c>
      <c r="C18" s="44" t="n">
        <f aca="false">B18*Assumptions!$B$6</f>
        <v>3153.36147</v>
      </c>
      <c r="E18" s="3"/>
    </row>
    <row r="19" customFormat="false" ht="15" hidden="false" customHeight="false" outlineLevel="0" collapsed="false">
      <c r="A19" s="7" t="s">
        <v>869</v>
      </c>
      <c r="B19" s="40" t="n">
        <f aca="false">B6-'Order Guide'!$H$9</f>
        <v>600.825</v>
      </c>
      <c r="E19" s="3"/>
    </row>
    <row r="20" customFormat="false" ht="15" hidden="false" customHeight="false" outlineLevel="0" collapsed="false">
      <c r="A20" s="31" t="s">
        <v>870</v>
      </c>
      <c r="B20" s="61" t="n">
        <f aca="false">IF(B19=0,0,B18/B19)</f>
        <v>1.21209836474847</v>
      </c>
      <c r="E20" s="3" t="s">
        <v>871</v>
      </c>
    </row>
    <row r="21" customFormat="false" ht="15" hidden="false" customHeight="false" outlineLevel="0" collapsed="false">
      <c r="A21" s="31" t="s">
        <v>872</v>
      </c>
      <c r="B21" s="42" t="n">
        <f aca="false">B12+B18</f>
        <v>3155.075875</v>
      </c>
      <c r="C21" s="42" t="n">
        <f aca="false">B21*Assumptions!$B$6</f>
        <v>13661.47853875</v>
      </c>
      <c r="E21" s="3"/>
    </row>
    <row r="23" customFormat="false" ht="15" hidden="false" customHeight="false" outlineLevel="0" collapsed="false">
      <c r="A23" s="5" t="s">
        <v>15</v>
      </c>
      <c r="B23" s="6"/>
      <c r="C23" s="6"/>
      <c r="D23" s="6"/>
      <c r="E23" s="6"/>
    </row>
    <row r="24" customFormat="false" ht="15" hidden="false" customHeight="false" outlineLevel="0" collapsed="false">
      <c r="A24" s="31" t="s">
        <v>873</v>
      </c>
      <c r="B24" s="60" t="n">
        <f aca="false">B9-B21</f>
        <v>788.76896875</v>
      </c>
      <c r="C24" s="60" t="n">
        <f aca="false">B24*Assumptions!$B$6</f>
        <v>3415.3696346875</v>
      </c>
      <c r="E24" s="3" t="s">
        <v>874</v>
      </c>
    </row>
    <row r="25" customFormat="false" ht="15" hidden="false" customHeight="false" outlineLevel="0" collapsed="false">
      <c r="A25" s="7" t="s">
        <v>875</v>
      </c>
      <c r="B25" s="47" t="n">
        <f aca="false">IF(B9=0,0,B24/B9)</f>
        <v>0.2</v>
      </c>
      <c r="E25" s="3"/>
    </row>
    <row r="26" customFormat="false" ht="15" hidden="false" customHeight="false" outlineLevel="0" collapsed="false">
      <c r="A26" s="7" t="s">
        <v>876</v>
      </c>
      <c r="B26" s="29" t="n">
        <f aca="false">B24/Assumptions!$B$13</f>
        <v>39.4384484375</v>
      </c>
      <c r="E26" s="3" t="s">
        <v>877</v>
      </c>
    </row>
    <row r="28" customFormat="false" ht="15" hidden="false" customHeight="false" outlineLevel="0" collapsed="false">
      <c r="A28" s="3" t="s">
        <v>878</v>
      </c>
    </row>
    <row r="29" customFormat="false" ht="15" hidden="false" customHeight="false" outlineLevel="0" collapsed="false">
      <c r="A29" s="3" t="s">
        <v>879</v>
      </c>
    </row>
    <row r="30" customFormat="false" ht="15" hidden="false" customHeight="false" outlineLevel="0" collapsed="false">
      <c r="A30" s="3" t="s">
        <v>880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4" min="2" style="0" width="16"/>
    <col collapsed="false" customWidth="true" hidden="false" outlineLevel="0" max="5" min="5" style="0" width="50"/>
  </cols>
  <sheetData>
    <row r="1" customFormat="false" ht="17.35" hidden="false" customHeight="false" outlineLevel="0" collapsed="false">
      <c r="A1" s="1" t="s">
        <v>881</v>
      </c>
      <c r="B1" s="2"/>
      <c r="C1" s="2"/>
      <c r="D1" s="2"/>
      <c r="E1" s="2"/>
    </row>
    <row r="2" customFormat="false" ht="15" hidden="false" customHeight="false" outlineLevel="0" collapsed="false">
      <c r="A2" s="3" t="s">
        <v>882</v>
      </c>
    </row>
    <row r="4" customFormat="false" ht="15" hidden="false" customHeight="false" outlineLevel="0" collapsed="false">
      <c r="A4" s="4" t="s">
        <v>883</v>
      </c>
      <c r="B4" s="4" t="s">
        <v>2</v>
      </c>
      <c r="C4" s="4" t="s">
        <v>3</v>
      </c>
      <c r="D4" s="4" t="s">
        <v>4</v>
      </c>
      <c r="E4" s="4" t="s">
        <v>852</v>
      </c>
    </row>
    <row r="5" customFormat="false" ht="15" hidden="false" customHeight="false" outlineLevel="0" collapsed="false">
      <c r="A5" s="5" t="s">
        <v>884</v>
      </c>
      <c r="B5" s="6"/>
      <c r="C5" s="6"/>
      <c r="D5" s="6"/>
      <c r="E5" s="6"/>
    </row>
    <row r="6" customFormat="false" ht="15" hidden="false" customHeight="false" outlineLevel="0" collapsed="false">
      <c r="A6" s="7" t="s">
        <v>885</v>
      </c>
      <c r="B6" s="41" t="n">
        <f aca="false">'Sales &amp; P&amp;L'!G36*12</f>
        <v>607847.565</v>
      </c>
      <c r="C6" s="41" t="n">
        <f aca="false">'Sales &amp; P&amp;L'!H36*12</f>
        <v>935150.1</v>
      </c>
      <c r="D6" s="41" t="n">
        <f aca="false">'Sales &amp; P&amp;L'!I36*12</f>
        <v>1309210.14</v>
      </c>
      <c r="E6" s="3"/>
    </row>
    <row r="7" customFormat="false" ht="15" hidden="false" customHeight="false" outlineLevel="0" collapsed="false">
      <c r="A7" s="7" t="s">
        <v>886</v>
      </c>
      <c r="B7" s="41" t="n">
        <f aca="false">'Sales &amp; P&amp;L'!G68*12</f>
        <v>21145.8718923385</v>
      </c>
      <c r="C7" s="41" t="n">
        <f aca="false">'Sales &amp; P&amp;L'!H68*12</f>
        <v>219584.667526675</v>
      </c>
      <c r="D7" s="41" t="n">
        <f aca="false">'Sales &amp; P&amp;L'!I68*12</f>
        <v>446371.862537344</v>
      </c>
      <c r="E7" s="3" t="s">
        <v>887</v>
      </c>
    </row>
    <row r="8" customFormat="false" ht="15" hidden="false" customHeight="false" outlineLevel="0" collapsed="false">
      <c r="A8" s="7" t="s">
        <v>888</v>
      </c>
      <c r="B8" s="41" t="n">
        <f aca="false">B6*Assumptions!$B$81</f>
        <v>18235.42695</v>
      </c>
      <c r="C8" s="41" t="n">
        <f aca="false">C6*Assumptions!$B$81</f>
        <v>28054.503</v>
      </c>
      <c r="D8" s="41" t="n">
        <f aca="false">D6*Assumptions!$B$81</f>
        <v>39276.3042</v>
      </c>
      <c r="E8" s="3" t="s">
        <v>889</v>
      </c>
    </row>
    <row r="9" customFormat="false" ht="15" hidden="false" customHeight="false" outlineLevel="0" collapsed="false">
      <c r="A9" s="31" t="s">
        <v>890</v>
      </c>
      <c r="B9" s="42" t="n">
        <f aca="false">B7-B8</f>
        <v>2910.44494233853</v>
      </c>
      <c r="C9" s="42" t="n">
        <f aca="false">C7-C8</f>
        <v>191530.164526675</v>
      </c>
      <c r="D9" s="42" t="n">
        <f aca="false">D7-D8</f>
        <v>407095.558337344</v>
      </c>
      <c r="E9" s="3"/>
    </row>
    <row r="11" customFormat="false" ht="15" hidden="false" customHeight="false" outlineLevel="0" collapsed="false">
      <c r="A11" s="5" t="s">
        <v>891</v>
      </c>
      <c r="B11" s="6"/>
      <c r="C11" s="6"/>
      <c r="D11" s="6"/>
      <c r="E11" s="6"/>
    </row>
    <row r="12" customFormat="false" ht="15" hidden="false" customHeight="false" outlineLevel="0" collapsed="false">
      <c r="A12" s="7" t="s">
        <v>892</v>
      </c>
      <c r="B12" s="41" t="n">
        <f aca="false">'Startup Budget'!$F$50*Assumptions!$B$80</f>
        <v>466213.913</v>
      </c>
      <c r="C12" s="41" t="n">
        <f aca="false">'Startup Budget'!$F$50*Assumptions!$B$80</f>
        <v>466213.913</v>
      </c>
      <c r="D12" s="41" t="n">
        <f aca="false">'Startup Budget'!$F$50*Assumptions!$B$80</f>
        <v>466213.913</v>
      </c>
      <c r="E12" s="3" t="s">
        <v>893</v>
      </c>
    </row>
    <row r="13" customFormat="false" ht="15" hidden="false" customHeight="false" outlineLevel="0" collapsed="false">
      <c r="A13" s="31" t="s">
        <v>22</v>
      </c>
      <c r="B13" s="44" t="n">
        <f aca="false">B9*(1-Assumptions!$B$79)</f>
        <v>2037.31145963697</v>
      </c>
      <c r="C13" s="44" t="n">
        <f aca="false">C9*(1-Assumptions!$B$79)</f>
        <v>134071.115168672</v>
      </c>
      <c r="D13" s="44" t="n">
        <f aca="false">D9*(1-Assumptions!$B$79)</f>
        <v>284966.890836141</v>
      </c>
      <c r="E13" s="3" t="s">
        <v>894</v>
      </c>
    </row>
    <row r="14" customFormat="false" ht="15" hidden="false" customHeight="false" outlineLevel="0" collapsed="false">
      <c r="A14" s="31" t="s">
        <v>23</v>
      </c>
      <c r="B14" s="39" t="n">
        <f aca="false">IF(B12=0,0,B13/B12)</f>
        <v>0.0043699070380102</v>
      </c>
      <c r="C14" s="39" t="n">
        <f aca="false">IF(C12=0,0,C13/C12)</f>
        <v>0.287574247422067</v>
      </c>
      <c r="D14" s="39" t="n">
        <f aca="false">IF(D12=0,0,D13/D12)</f>
        <v>0.611236350718133</v>
      </c>
      <c r="E14" s="3"/>
    </row>
    <row r="15" customFormat="false" ht="15" hidden="false" customHeight="false" outlineLevel="0" collapsed="false">
      <c r="A15" s="7" t="s">
        <v>895</v>
      </c>
      <c r="B15" s="40" t="n">
        <f aca="false">IF(B13&lt;=0,"Not at this volume",B12/B13)</f>
        <v>228.837819958601</v>
      </c>
      <c r="C15" s="40" t="n">
        <f aca="false">IF(C13&lt;=0,"Not at this volume",C12/C13)</f>
        <v>3.47736283399646</v>
      </c>
      <c r="D15" s="40" t="n">
        <f aca="false">IF(D13&lt;=0,"Not at this volume",D12/D13)</f>
        <v>1.63602835273968</v>
      </c>
      <c r="E15" s="3"/>
    </row>
    <row r="17" customFormat="false" ht="15" hidden="false" customHeight="false" outlineLevel="0" collapsed="false">
      <c r="A17" s="5" t="s">
        <v>896</v>
      </c>
      <c r="B17" s="6"/>
      <c r="C17" s="6"/>
      <c r="D17" s="6"/>
      <c r="E17" s="6"/>
    </row>
    <row r="18" customFormat="false" ht="15" hidden="false" customHeight="false" outlineLevel="0" collapsed="false">
      <c r="A18" s="7" t="s">
        <v>897</v>
      </c>
      <c r="B18" s="41" t="n">
        <f aca="false">B8</f>
        <v>18235.42695</v>
      </c>
      <c r="C18" s="41" t="n">
        <f aca="false">C8</f>
        <v>28054.503</v>
      </c>
      <c r="D18" s="41" t="n">
        <f aca="false">D8</f>
        <v>39276.3042</v>
      </c>
      <c r="E18" s="3"/>
    </row>
    <row r="19" customFormat="false" ht="15" hidden="false" customHeight="false" outlineLevel="0" collapsed="false">
      <c r="A19" s="7" t="s">
        <v>898</v>
      </c>
      <c r="B19" s="41" t="n">
        <f aca="false">B9*Assumptions!$B$79</f>
        <v>873.13348270156</v>
      </c>
      <c r="C19" s="41" t="n">
        <f aca="false">C9*Assumptions!$B$79</f>
        <v>57459.0493580024</v>
      </c>
      <c r="D19" s="41" t="n">
        <f aca="false">D9*Assumptions!$B$79</f>
        <v>122128.667501203</v>
      </c>
      <c r="E19" s="3" t="s">
        <v>899</v>
      </c>
    </row>
    <row r="20" customFormat="false" ht="15" hidden="false" customHeight="false" outlineLevel="0" collapsed="false">
      <c r="A20" s="7" t="s">
        <v>900</v>
      </c>
      <c r="B20" s="41" t="n">
        <f aca="false">'Sales &amp; P&amp;L'!G72*12</f>
        <v>24218.0755914205</v>
      </c>
      <c r="C20" s="41" t="n">
        <f aca="false">'Sales &amp; P&amp;L'!H72*12</f>
        <v>37258.5778329546</v>
      </c>
      <c r="D20" s="41" t="n">
        <f aca="false">'Sales &amp; P&amp;L'!I72*12</f>
        <v>52162.0089661363</v>
      </c>
      <c r="E20" s="3" t="s">
        <v>901</v>
      </c>
    </row>
    <row r="21" customFormat="false" ht="15" hidden="false" customHeight="false" outlineLevel="0" collapsed="false">
      <c r="A21" s="31" t="s">
        <v>902</v>
      </c>
      <c r="B21" s="60" t="n">
        <f aca="false">B18+B19+B20</f>
        <v>43326.636024122</v>
      </c>
      <c r="C21" s="60" t="n">
        <f aca="false">C18+C19+C20</f>
        <v>122772.130190957</v>
      </c>
      <c r="D21" s="60" t="n">
        <f aca="false">D18+D19+D20</f>
        <v>213566.98066734</v>
      </c>
      <c r="E21" s="3"/>
    </row>
    <row r="22" customFormat="false" ht="15" hidden="false" customHeight="false" outlineLevel="0" collapsed="false">
      <c r="A22" s="7" t="s">
        <v>903</v>
      </c>
      <c r="B22" s="41" t="n">
        <f aca="false">'Startup Budget'!$F$50*(1-Assumptions!$B$80)</f>
        <v>0</v>
      </c>
      <c r="C22" s="41" t="n">
        <f aca="false">'Startup Budget'!$F$50*(1-Assumptions!$B$80)</f>
        <v>0</v>
      </c>
      <c r="D22" s="41" t="n">
        <f aca="false">'Startup Budget'!$F$50*(1-Assumptions!$B$80)</f>
        <v>0</v>
      </c>
      <c r="E22" s="3" t="s">
        <v>904</v>
      </c>
    </row>
    <row r="24" customFormat="false" ht="15" hidden="false" customHeight="false" outlineLevel="0" collapsed="false">
      <c r="A24" s="5" t="s">
        <v>905</v>
      </c>
      <c r="B24" s="6"/>
      <c r="C24" s="6"/>
      <c r="D24" s="6"/>
      <c r="E24" s="6"/>
    </row>
    <row r="25" customFormat="false" ht="15" hidden="false" customHeight="false" outlineLevel="0" collapsed="false">
      <c r="A25" s="7" t="s">
        <v>906</v>
      </c>
      <c r="B25" s="41" t="n">
        <f aca="false">B7+B20</f>
        <v>45363.947483759</v>
      </c>
      <c r="C25" s="41" t="n">
        <f aca="false">C7+C20</f>
        <v>256843.245359629</v>
      </c>
      <c r="D25" s="41" t="n">
        <f aca="false">D7+D20</f>
        <v>498533.871503481</v>
      </c>
      <c r="E25" s="3"/>
    </row>
    <row r="26" customFormat="false" ht="15" hidden="false" customHeight="false" outlineLevel="0" collapsed="false">
      <c r="A26" s="7" t="s">
        <v>907</v>
      </c>
      <c r="B26" s="47" t="n">
        <f aca="false">IF(B25=0,0,B13/B25)</f>
        <v>0.0449103654475035</v>
      </c>
      <c r="C26" s="47" t="n">
        <f aca="false">IF(C25=0,0,C13/C25)</f>
        <v>0.521995877216655</v>
      </c>
      <c r="D26" s="47" t="n">
        <f aca="false">IF(D25=0,0,D13/D25)</f>
        <v>0.571609888765906</v>
      </c>
      <c r="E26" s="3"/>
    </row>
    <row r="27" customFormat="false" ht="15" hidden="false" customHeight="false" outlineLevel="0" collapsed="false">
      <c r="A27" s="7" t="s">
        <v>908</v>
      </c>
      <c r="B27" s="47" t="n">
        <f aca="false">IF(B25=0,0,B21/B25)</f>
        <v>0.955089634552497</v>
      </c>
      <c r="C27" s="47" t="n">
        <f aca="false">IF(C25=0,0,C21/C25)</f>
        <v>0.478004122783345</v>
      </c>
      <c r="D27" s="47" t="n">
        <f aca="false">IF(D25=0,0,D21/D25)</f>
        <v>0.428390111234094</v>
      </c>
      <c r="E27" s="3"/>
    </row>
    <row r="29" customFormat="false" ht="15" hidden="false" customHeight="false" outlineLevel="0" collapsed="false">
      <c r="A29" s="5" t="s">
        <v>909</v>
      </c>
      <c r="B29" s="6"/>
      <c r="C29" s="6"/>
      <c r="D29" s="6"/>
      <c r="E29" s="6"/>
    </row>
    <row r="30" customFormat="false" ht="15" hidden="false" customHeight="false" outlineLevel="0" collapsed="false">
      <c r="A30" s="7" t="s">
        <v>910</v>
      </c>
      <c r="B30" s="41" t="n">
        <f aca="false">B21*2</f>
        <v>86653.272048244</v>
      </c>
      <c r="C30" s="41" t="n">
        <f aca="false">C21*2</f>
        <v>245544.260381914</v>
      </c>
      <c r="D30" s="41" t="n">
        <f aca="false">D21*2</f>
        <v>427133.961334679</v>
      </c>
      <c r="E30" s="3"/>
    </row>
    <row r="31" customFormat="false" ht="15" hidden="false" customHeight="false" outlineLevel="0" collapsed="false">
      <c r="A31" s="7" t="s">
        <v>911</v>
      </c>
      <c r="B31" s="41" t="n">
        <f aca="false">B21*3</f>
        <v>129979.908072366</v>
      </c>
      <c r="C31" s="41" t="n">
        <f aca="false">C21*3</f>
        <v>368316.390572871</v>
      </c>
      <c r="D31" s="41" t="n">
        <f aca="false">D21*3</f>
        <v>640700.942002019</v>
      </c>
      <c r="E31" s="3"/>
    </row>
    <row r="32" customFormat="false" ht="15" hidden="false" customHeight="false" outlineLevel="0" collapsed="false">
      <c r="A32" s="7" t="s">
        <v>912</v>
      </c>
      <c r="B32" s="41" t="n">
        <f aca="false">B21*5</f>
        <v>216633.18012061</v>
      </c>
      <c r="C32" s="41" t="n">
        <f aca="false">C21*5</f>
        <v>613860.650954785</v>
      </c>
      <c r="D32" s="41" t="n">
        <f aca="false">D21*5</f>
        <v>1067834.9033367</v>
      </c>
      <c r="E32" s="3"/>
    </row>
    <row r="34" customFormat="false" ht="15" hidden="false" customHeight="false" outlineLevel="0" collapsed="false">
      <c r="A34" s="3" t="s">
        <v>913</v>
      </c>
    </row>
    <row r="35" customFormat="false" ht="15" hidden="false" customHeight="false" outlineLevel="0" collapsed="false">
      <c r="A35" s="3" t="s">
        <v>914</v>
      </c>
    </row>
    <row r="36" customFormat="false" ht="15" hidden="false" customHeight="false" outlineLevel="0" collapsed="false">
      <c r="A36" s="3" t="s">
        <v>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0"/>
  </cols>
  <sheetData>
    <row r="1" customFormat="false" ht="17.35" hidden="false" customHeight="false" outlineLevel="0" collapsed="false">
      <c r="A1" s="1" t="s">
        <v>916</v>
      </c>
      <c r="B1" s="2"/>
    </row>
    <row r="3" customFormat="false" ht="15" hidden="false" customHeight="false" outlineLevel="0" collapsed="false">
      <c r="A3" s="4" t="s">
        <v>917</v>
      </c>
      <c r="B3" s="4" t="s">
        <v>918</v>
      </c>
    </row>
    <row r="4" customFormat="false" ht="15" hidden="false" customHeight="false" outlineLevel="0" collapsed="false">
      <c r="A4" s="7" t="s">
        <v>919</v>
      </c>
      <c r="B4" s="7" t="s">
        <v>920</v>
      </c>
    </row>
    <row r="5" customFormat="false" ht="15" hidden="false" customHeight="false" outlineLevel="0" collapsed="false">
      <c r="A5" s="7" t="s">
        <v>921</v>
      </c>
      <c r="B5" s="7" t="s">
        <v>922</v>
      </c>
    </row>
    <row r="6" customFormat="false" ht="15" hidden="false" customHeight="false" outlineLevel="0" collapsed="false">
      <c r="A6" s="7" t="s">
        <v>923</v>
      </c>
      <c r="B6" s="7" t="s">
        <v>924</v>
      </c>
    </row>
    <row r="7" customFormat="false" ht="15" hidden="false" customHeight="false" outlineLevel="0" collapsed="false">
      <c r="A7" s="7" t="s">
        <v>925</v>
      </c>
      <c r="B7" s="7" t="s">
        <v>926</v>
      </c>
    </row>
    <row r="8" customFormat="false" ht="15" hidden="false" customHeight="false" outlineLevel="0" collapsed="false">
      <c r="A8" s="7" t="s">
        <v>927</v>
      </c>
      <c r="B8" s="7" t="s">
        <v>928</v>
      </c>
    </row>
    <row r="9" customFormat="false" ht="15" hidden="false" customHeight="false" outlineLevel="0" collapsed="false">
      <c r="A9" s="7" t="s">
        <v>929</v>
      </c>
      <c r="B9" s="7" t="s">
        <v>930</v>
      </c>
    </row>
    <row r="10" customFormat="false" ht="15" hidden="false" customHeight="false" outlineLevel="0" collapsed="false">
      <c r="A10" s="7" t="s">
        <v>931</v>
      </c>
      <c r="B10" s="7" t="s">
        <v>932</v>
      </c>
    </row>
    <row r="11" customFormat="false" ht="15" hidden="false" customHeight="false" outlineLevel="0" collapsed="false">
      <c r="A11" s="7" t="s">
        <v>933</v>
      </c>
      <c r="B11" s="7" t="s">
        <v>934</v>
      </c>
    </row>
    <row r="12" customFormat="false" ht="15" hidden="false" customHeight="false" outlineLevel="0" collapsed="false">
      <c r="A12" s="7" t="s">
        <v>935</v>
      </c>
      <c r="B12" s="7" t="s">
        <v>936</v>
      </c>
    </row>
    <row r="13" customFormat="false" ht="15" hidden="false" customHeight="false" outlineLevel="0" collapsed="false">
      <c r="A13" s="7" t="s">
        <v>937</v>
      </c>
      <c r="B13" s="7" t="s">
        <v>938</v>
      </c>
    </row>
    <row r="14" customFormat="false" ht="15" hidden="false" customHeight="false" outlineLevel="0" collapsed="false">
      <c r="A14" s="7" t="s">
        <v>939</v>
      </c>
      <c r="B14" s="7" t="s">
        <v>940</v>
      </c>
    </row>
    <row r="15" customFormat="false" ht="15" hidden="false" customHeight="false" outlineLevel="0" collapsed="false">
      <c r="A15" s="7" t="s">
        <v>941</v>
      </c>
      <c r="B15" s="7" t="s">
        <v>942</v>
      </c>
    </row>
    <row r="16" customFormat="false" ht="15" hidden="false" customHeight="false" outlineLevel="0" collapsed="false">
      <c r="A16" s="7" t="s">
        <v>943</v>
      </c>
      <c r="B16" s="7" t="s">
        <v>944</v>
      </c>
    </row>
    <row r="17" customFormat="false" ht="15" hidden="false" customHeight="false" outlineLevel="0" collapsed="false">
      <c r="A17" s="7" t="s">
        <v>945</v>
      </c>
      <c r="B17" s="7" t="s">
        <v>946</v>
      </c>
    </row>
    <row r="18" customFormat="false" ht="15" hidden="false" customHeight="false" outlineLevel="0" collapsed="false">
      <c r="A18" s="7" t="s">
        <v>947</v>
      </c>
      <c r="B18" s="7" t="s">
        <v>948</v>
      </c>
    </row>
    <row r="19" customFormat="false" ht="15" hidden="false" customHeight="false" outlineLevel="0" collapsed="false">
      <c r="A19" s="7" t="s">
        <v>949</v>
      </c>
      <c r="B19" s="7" t="s">
        <v>950</v>
      </c>
    </row>
    <row r="20" customFormat="false" ht="15" hidden="false" customHeight="false" outlineLevel="0" collapsed="false">
      <c r="A20" s="7" t="s">
        <v>951</v>
      </c>
      <c r="B20" s="7" t="s">
        <v>952</v>
      </c>
    </row>
    <row r="21" customFormat="false" ht="15" hidden="false" customHeight="false" outlineLevel="0" collapsed="false">
      <c r="A21" s="7" t="s">
        <v>953</v>
      </c>
      <c r="B21" s="7" t="s">
        <v>954</v>
      </c>
    </row>
    <row r="22" customFormat="false" ht="15" hidden="false" customHeight="false" outlineLevel="0" collapsed="false">
      <c r="A22" s="7" t="s">
        <v>955</v>
      </c>
      <c r="B22" s="7" t="s">
        <v>956</v>
      </c>
    </row>
    <row r="23" customFormat="false" ht="15" hidden="false" customHeight="false" outlineLevel="0" collapsed="false">
      <c r="A23" s="7" t="s">
        <v>957</v>
      </c>
      <c r="B23" s="7" t="s">
        <v>958</v>
      </c>
    </row>
    <row r="24" customFormat="false" ht="15" hidden="false" customHeight="false" outlineLevel="0" collapsed="false">
      <c r="A24" s="7" t="s">
        <v>959</v>
      </c>
      <c r="B24" s="7" t="s">
        <v>960</v>
      </c>
    </row>
    <row r="25" customFormat="false" ht="15" hidden="false" customHeight="false" outlineLevel="0" collapsed="false">
      <c r="A25" s="7" t="s">
        <v>961</v>
      </c>
      <c r="B25" s="7" t="s">
        <v>962</v>
      </c>
    </row>
    <row r="26" customFormat="false" ht="15" hidden="false" customHeight="false" outlineLevel="0" collapsed="false">
      <c r="A26" s="7" t="s">
        <v>963</v>
      </c>
      <c r="B26" s="7" t="s">
        <v>964</v>
      </c>
    </row>
    <row r="27" customFormat="false" ht="15" hidden="false" customHeight="false" outlineLevel="0" collapsed="false">
      <c r="A27" s="7" t="s">
        <v>965</v>
      </c>
      <c r="B27" s="7" t="s">
        <v>966</v>
      </c>
    </row>
    <row r="28" customFormat="false" ht="15" hidden="false" customHeight="false" outlineLevel="0" collapsed="false">
      <c r="A28" s="7" t="s">
        <v>967</v>
      </c>
      <c r="B28" s="7" t="s">
        <v>968</v>
      </c>
    </row>
    <row r="29" customFormat="false" ht="15" hidden="false" customHeight="false" outlineLevel="0" collapsed="false">
      <c r="A29" s="7" t="s">
        <v>969</v>
      </c>
      <c r="B29" s="7" t="s">
        <v>970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2026-10-28T00:40:16Z</dcterms:created>
  <dc:creator>openpyxl</dc:creator>
  <dc:description/>
  <dc:language>en-US</dc:language>
  <cp:lastModifiedBy/>
  <dcterms:modified xsi:type="dcterms:W3CDTF">2026-10-28T00:40:16Z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